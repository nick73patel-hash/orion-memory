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ded Cost &amp; Margin" state="visible" r:id="rId4"/>
    <sheet sheetId="2" name="Annual P&amp;L" state="visible" r:id="rId5"/>
    <sheet sheetId="3" name="Assumptions &amp; Notes" state="visible" r:id="rId6"/>
  </sheets>
  <calcPr calcId="171027"/>
</workbook>
</file>

<file path=xl/sharedStrings.xml><?xml version="1.0" encoding="utf-8"?>
<sst xmlns="http://schemas.openxmlformats.org/spreadsheetml/2006/main" count="95" uniqueCount="65">
  <si>
    <t>Line / Product</t>
  </si>
  <si>
    <t>Supplier FOB $/unit</t>
  </si>
  <si>
    <t>Freight $/unit</t>
  </si>
  <si>
    <t>Insurance $/unit</t>
  </si>
  <si>
    <t>CIF Value $/unit</t>
  </si>
  <si>
    <t>Tariff %</t>
  </si>
  <si>
    <t>Duty $/unit</t>
  </si>
  <si>
    <t>Brokerage $/unit</t>
  </si>
  <si>
    <t>Landed Cost $/unit</t>
  </si>
  <si>
    <t>US Benchmark $/unit</t>
  </si>
  <si>
    <t>Our Sell $/unit</t>
  </si>
  <si>
    <t>Discount vs Benchmark</t>
  </si>
  <si>
    <t>Gross Margin $/unit</t>
  </si>
  <si>
    <t>Gross Margin %</t>
  </si>
  <si>
    <t>Annual Units</t>
  </si>
  <si>
    <t>Annual Revenue</t>
  </si>
  <si>
    <t>Annual COGS</t>
  </si>
  <si>
    <t>Annual Gross Profit</t>
  </si>
  <si>
    <t>Line 1 — Fiberglass (Canada)</t>
  </si>
  <si>
    <t>Line 2 — Alu-Clad Wood (Poland)</t>
  </si>
  <si>
    <t>Line 3 — Architectural Alu (Dubai)</t>
  </si>
  <si>
    <t>TOTAL</t>
  </si>
  <si>
    <t/>
  </si>
  <si>
    <t>ANNUAL P&amp;L (illustrative — Phase 1/2 volumes)</t>
  </si>
  <si>
    <t>Total Gross Profit (from model)</t>
  </si>
  <si>
    <t>Operating Expenses</t>
  </si>
  <si>
    <t xml:space="preserve">   Warehouse / rent (Denver metro)</t>
  </si>
  <si>
    <t xml:space="preserve">   Salaries / labor (lean: founder + 1)</t>
  </si>
  <si>
    <t xml:space="preserve">   Delivery / freight-out to job sites</t>
  </si>
  <si>
    <t xml:space="preserve">   Sales &amp; marketing</t>
  </si>
  <si>
    <t xml:space="preserve">   Insurance / import bonds</t>
  </si>
  <si>
    <t xml:space="preserve">   Software / admin</t>
  </si>
  <si>
    <t xml:space="preserve">   Certification amortization (NFRC/AAMA)</t>
  </si>
  <si>
    <t xml:space="preserve">   Misc / contingency</t>
  </si>
  <si>
    <t>Total Operating Expenses</t>
  </si>
  <si>
    <t>NET OPERATING PROFIT</t>
  </si>
  <si>
    <t>Net Margin on Revenue</t>
  </si>
  <si>
    <t>HOW TO USE</t>
  </si>
  <si>
    <t>Editable inputs (white cells)</t>
  </si>
  <si>
    <t>FOB price, freight, insurance, tariff %, brokerage, benchmark price, sell price, annual units. Everything else is calculated.</t>
  </si>
  <si>
    <t>ALL per-unit numbers are ILLUSTRATIVE</t>
  </si>
  <si>
    <t>Placeholders for an "average window unit" per line. REPLACE with real supplier quotes and freight estimates before deciding anything.</t>
  </si>
  <si>
    <t>COST STACK DEFINITIONS</t>
  </si>
  <si>
    <t>FOB $/unit</t>
  </si>
  <si>
    <t>Supplier ex-works / free-on-board price per window.</t>
  </si>
  <si>
    <t>CIF Value</t>
  </si>
  <si>
    <t>= FOB + Freight + Insurance. This is the customs value the duty is charged on.</t>
  </si>
  <si>
    <t>= CIF × Tariff %. Line 1 duty-free (USMCA); Line 2 ~15% (HTS 4418 wood-primary); Line 3 ~65% (aluminum, no escape).</t>
  </si>
  <si>
    <t>= CIF + Duty + Brokerage. Your true delivered-to-warehouse cost.</t>
  </si>
  <si>
    <t>Gross Margin</t>
  </si>
  <si>
    <t>= Sell − Landed. This is WHOLESALE-to-builder gross, before the operating costs on the P&amp;L tab.</t>
  </si>
  <si>
    <t>TARIFF BASIS</t>
  </si>
  <si>
    <t>Line 1 (Canada)</t>
  </si>
  <si>
    <t>0% — duty-free under USMCA.</t>
  </si>
  <si>
    <t>Line 2 (Poland)</t>
  </si>
  <si>
    <t>~15% — requires binding CBP ruling confirming HTS 4418.10 (wood-primary). Budget $5–10K customs attorney.</t>
  </si>
  <si>
    <t>Line 3 (Dubai)</t>
  </si>
  <si>
    <t>~65% — Section 232 aluminum (~50%) + UAE reciprocal (~10%) + MFN (~5.7%). Luxury tier only; tariff absorbed by price.</t>
  </si>
  <si>
    <t>P&amp;L TAB</t>
  </si>
  <si>
    <t>Operating expenses</t>
  </si>
  <si>
    <t>Lean Phase 1/2 estimates (founder-run). Adjust warehouse, salaries, delivery, S&amp;M as the plan firms up.</t>
  </si>
  <si>
    <t>Certification amortization</t>
  </si>
  <si>
    <t>$30–75K NFRC/AAMA spread over a few years — shown here as an annual line.</t>
  </si>
  <si>
    <t>Break-even lever</t>
  </si>
  <si>
    <t>Net profit is highly sensitive to Annual Units and Sell Price. Use this to find the volume that covers overhead.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</si>
</sst>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"/>
    <numFmt numFmtId="165" formatCode="$#,##0"/>
    <numFmt numFmtId="166" formatCode="0.0%"/>
  </numFmts>
  <fonts count="5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</font>
    <font>
      <b/>
      <sz val="13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9" fontId="0" fillId="0" borderId="0" xfId="0" applyNumberFormat="1"/>
    <xf numFmtId="3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9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9" fontId="2" fillId="3" borderId="0" xfId="0" applyNumberFormat="1" applyFont="1" applyFill="1"/>
    <xf numFmtId="3" fontId="2" fillId="3" borderId="0" xfId="0" applyNumberFormat="1" applyFont="1" applyFill="1"/>
    <xf numFmtId="165" fontId="2" fillId="3" borderId="0" xfId="0" applyNumberFormat="1" applyFont="1" applyFill="1"/>
    <xf numFmtId="0" fontId="3" fillId="0" borderId="0" xfId="0" applyFont="1"/>
    <xf numFmtId="165" fontId="2" fillId="0" borderId="0" xfId="0" applyNumberFormat="1" applyFont="1"/>
    <xf numFmtId="0" fontId="4" fillId="0" borderId="0" xfId="0" applyFont="1"/>
    <xf numFmtId="0" fontId="4" fillId="4" borderId="0" xfId="0" applyFont="1" applyFill="1"/>
    <xf numFmtId="165" fontId="4" fillId="4" borderId="0" xfId="0" applyNumberFormat="1" applyFont="1" applyFill="1"/>
    <xf numFmtId="166" fontId="0" fillId="0" borderId="0" xfId="0" applyNumberForma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5" width="12" style="1" customWidth="1"/>
    <col min="6" max="6" width="12" style="2" customWidth="1"/>
    <col min="7" max="11" width="12" style="1" customWidth="1"/>
    <col min="12" max="12" width="12" style="2" customWidth="1"/>
    <col min="13" max="13" width="12" style="1" customWidth="1"/>
    <col min="14" max="14" width="12" style="2" customWidth="1"/>
    <col min="15" max="15" width="12" style="3" customWidth="1"/>
    <col min="16" max="18" width="12" style="4" customWidth="1"/>
  </cols>
  <sheetData>
    <row r="1" ht="40" customHeight="1" spans="1:18" s="5" customForma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10" t="s">
        <v>16</v>
      </c>
      <c r="R1" s="10" t="s">
        <v>17</v>
      </c>
    </row>
    <row r="2" spans="1:18" x14ac:dyDescent="0.25">
      <c r="A2" t="s">
        <v>18</v>
      </c>
      <c r="B2" s="1">
        <v>400</v>
      </c>
      <c r="C2" s="1">
        <v>60</v>
      </c>
      <c r="D2" s="1">
        <v>8</v>
      </c>
      <c r="E2" s="1">
        <f>B2+C2+D2</f>
      </c>
      <c r="F2" s="2">
        <v>0</v>
      </c>
      <c r="G2" s="1">
        <f>E2*F2</f>
      </c>
      <c r="H2" s="1">
        <v>12</v>
      </c>
      <c r="I2" s="1">
        <f>E2+G2+H2</f>
      </c>
      <c r="J2" s="1">
        <v>850</v>
      </c>
      <c r="K2" s="1">
        <v>650</v>
      </c>
      <c r="L2" s="2">
        <f>1-K2/J2</f>
      </c>
      <c r="M2" s="1">
        <f>K2-I2</f>
      </c>
      <c r="N2" s="2">
        <f>M2/K2</f>
      </c>
      <c r="O2" s="3">
        <v>600</v>
      </c>
      <c r="P2" s="4">
        <f>K2*O2</f>
      </c>
      <c r="Q2" s="4">
        <f>I2*O2</f>
      </c>
      <c r="R2" s="4">
        <f>P2-Q2</f>
      </c>
    </row>
    <row r="3" spans="1:18" x14ac:dyDescent="0.25">
      <c r="A3" t="s">
        <v>19</v>
      </c>
      <c r="B3" s="1">
        <v>600</v>
      </c>
      <c r="C3" s="1">
        <v>120</v>
      </c>
      <c r="D3" s="1">
        <v>12</v>
      </c>
      <c r="E3" s="1">
        <f>B3+C3+D3</f>
      </c>
      <c r="F3" s="2">
        <v>0.15</v>
      </c>
      <c r="G3" s="1">
        <f>E3*F3</f>
      </c>
      <c r="H3" s="1">
        <v>20</v>
      </c>
      <c r="I3" s="1">
        <f>E3+G3+H3</f>
      </c>
      <c r="J3" s="1">
        <v>1400</v>
      </c>
      <c r="K3" s="1">
        <v>1100</v>
      </c>
      <c r="L3" s="2">
        <f>1-K3/J3</f>
      </c>
      <c r="M3" s="1">
        <f>K3-I3</f>
      </c>
      <c r="N3" s="2">
        <f>M3/K3</f>
      </c>
      <c r="O3" s="3">
        <v>400</v>
      </c>
      <c r="P3" s="4">
        <f>K3*O3</f>
      </c>
      <c r="Q3" s="4">
        <f>I3*O3</f>
      </c>
      <c r="R3" s="4">
        <f>P3-Q3</f>
      </c>
    </row>
    <row r="4" spans="1:18" x14ac:dyDescent="0.25">
      <c r="A4" t="s">
        <v>20</v>
      </c>
      <c r="B4" s="1">
        <v>700</v>
      </c>
      <c r="C4" s="1">
        <v>150</v>
      </c>
      <c r="D4" s="1">
        <v>15</v>
      </c>
      <c r="E4" s="1">
        <f>B4+C4+D4</f>
      </c>
      <c r="F4" s="2">
        <v>0.65</v>
      </c>
      <c r="G4" s="1">
        <f>E4*F4</f>
      </c>
      <c r="H4" s="1">
        <v>25</v>
      </c>
      <c r="I4" s="1">
        <f>E4+G4+H4</f>
      </c>
      <c r="J4" s="1">
        <v>2200</v>
      </c>
      <c r="K4" s="1">
        <v>2000</v>
      </c>
      <c r="L4" s="2">
        <f>1-K4/J4</f>
      </c>
      <c r="M4" s="1">
        <f>K4-I4</f>
      </c>
      <c r="N4" s="2">
        <f>M4/K4</f>
      </c>
      <c r="O4" s="3">
        <v>40</v>
      </c>
      <c r="P4" s="4">
        <f>K4*O4</f>
      </c>
      <c r="Q4" s="4">
        <f>I4*O4</f>
      </c>
      <c r="R4" s="4">
        <f>P4-Q4</f>
      </c>
    </row>
    <row r="5" spans="1:18" s="11" customFormat="1" x14ac:dyDescent="0.25">
      <c r="A5" s="12" t="s">
        <v>21</v>
      </c>
      <c r="B5" s="13" t="s">
        <v>22</v>
      </c>
      <c r="C5" s="13" t="s">
        <v>22</v>
      </c>
      <c r="D5" s="13" t="s">
        <v>22</v>
      </c>
      <c r="E5" s="13" t="s">
        <v>22</v>
      </c>
      <c r="F5" s="14" t="s">
        <v>22</v>
      </c>
      <c r="G5" s="13" t="s">
        <v>22</v>
      </c>
      <c r="H5" s="13" t="s">
        <v>22</v>
      </c>
      <c r="I5" s="13" t="s">
        <v>22</v>
      </c>
      <c r="J5" s="13" t="s">
        <v>22</v>
      </c>
      <c r="K5" s="13" t="s">
        <v>22</v>
      </c>
      <c r="L5" s="14">
        <f>1-AVERAGE(K2:K4)/AVERAGE(J2:J4)</f>
      </c>
      <c r="M5" s="13" t="s">
        <v>22</v>
      </c>
      <c r="N5" s="14">
        <f>R5/P5</f>
      </c>
      <c r="O5" s="15">
        <f>SUM(O2:O4)</f>
      </c>
      <c r="P5" s="16">
        <f>SUM(P2:P4)</f>
      </c>
      <c r="Q5" s="16">
        <f>SUM(Q2:Q4)</f>
      </c>
      <c r="R5" s="16">
        <f>SUM(R2:R4)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40" customWidth="1"/>
    <col min="2" max="2" width="16" customWidth="1"/>
  </cols>
  <sheetData>
    <row r="1" spans="1:2" s="17" customFormat="1" x14ac:dyDescent="0.25">
      <c r="A1" s="17" t="s">
        <v>23</v>
      </c>
      <c r="B1" s="17" t="s">
        <v>22</v>
      </c>
    </row>
    <row r="2" spans="1:2" x14ac:dyDescent="0.25">
      <c r="A2" t="s">
        <v>22</v>
      </c>
      <c r="B2" t="s">
        <v>22</v>
      </c>
    </row>
    <row r="3" spans="1:2" s="11" customFormat="1" x14ac:dyDescent="0.25">
      <c r="A3" s="11" t="s">
        <v>24</v>
      </c>
      <c r="B3" s="18">
        <f>'Landed Cost &amp; Margin'!R5</f>
      </c>
    </row>
    <row r="4" spans="1:2" x14ac:dyDescent="0.25">
      <c r="A4" t="s">
        <v>22</v>
      </c>
      <c r="B4" t="s">
        <v>22</v>
      </c>
    </row>
    <row r="5" spans="1:2" s="11" customFormat="1" x14ac:dyDescent="0.25">
      <c r="A5" s="11" t="s">
        <v>25</v>
      </c>
      <c r="B5" s="11" t="s">
        <v>22</v>
      </c>
    </row>
    <row r="6" spans="1:2" x14ac:dyDescent="0.25">
      <c r="A6" t="s">
        <v>26</v>
      </c>
      <c r="B6" s="4">
        <v>24000</v>
      </c>
    </row>
    <row r="7" spans="1:2" x14ac:dyDescent="0.25">
      <c r="A7" t="s">
        <v>27</v>
      </c>
      <c r="B7" s="4">
        <v>60000</v>
      </c>
    </row>
    <row r="8" spans="1:2" x14ac:dyDescent="0.25">
      <c r="A8" t="s">
        <v>28</v>
      </c>
      <c r="B8" s="4">
        <v>18000</v>
      </c>
    </row>
    <row r="9" spans="1:2" x14ac:dyDescent="0.25">
      <c r="A9" t="s">
        <v>29</v>
      </c>
      <c r="B9" s="4">
        <v>20000</v>
      </c>
    </row>
    <row r="10" spans="1:2" x14ac:dyDescent="0.25">
      <c r="A10" t="s">
        <v>30</v>
      </c>
      <c r="B10" s="4">
        <v>8000</v>
      </c>
    </row>
    <row r="11" spans="1:2" x14ac:dyDescent="0.25">
      <c r="A11" t="s">
        <v>31</v>
      </c>
      <c r="B11" s="4">
        <v>6000</v>
      </c>
    </row>
    <row r="12" spans="1:2" x14ac:dyDescent="0.25">
      <c r="A12" t="s">
        <v>32</v>
      </c>
      <c r="B12" s="4">
        <v>15000</v>
      </c>
    </row>
    <row r="13" spans="1:2" x14ac:dyDescent="0.25">
      <c r="A13" t="s">
        <v>33</v>
      </c>
      <c r="B13" s="4">
        <v>10000</v>
      </c>
    </row>
    <row r="14" spans="1:2" s="11" customFormat="1" x14ac:dyDescent="0.25">
      <c r="A14" s="11" t="s">
        <v>34</v>
      </c>
      <c r="B14" s="18">
        <f>SUM(B6:B13)</f>
      </c>
    </row>
    <row r="15" spans="1:2" x14ac:dyDescent="0.25">
      <c r="A15" t="s">
        <v>22</v>
      </c>
      <c r="B15" t="s">
        <v>22</v>
      </c>
    </row>
    <row r="16" spans="1:2" s="19" customFormat="1" x14ac:dyDescent="0.25">
      <c r="A16" s="20" t="s">
        <v>35</v>
      </c>
      <c r="B16" s="21">
        <f>B3-B14</f>
      </c>
    </row>
    <row r="17" spans="1:2" x14ac:dyDescent="0.25">
      <c r="A17" t="s">
        <v>36</v>
      </c>
      <c r="B17" s="22">
        <f>B16/'Landed Cost &amp; Margin'!P5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4" customWidth="1"/>
    <col min="2" max="2" width="64" style="23" customWidth="1"/>
  </cols>
  <sheetData>
    <row r="1" spans="1:2" s="19" customFormat="1" x14ac:dyDescent="0.25">
      <c r="A1" s="19" t="s">
        <v>37</v>
      </c>
      <c r="B1" s="24" t="s">
        <v>22</v>
      </c>
    </row>
    <row r="2" spans="1:2" x14ac:dyDescent="0.25">
      <c r="A2" t="s">
        <v>38</v>
      </c>
      <c r="B2" s="23" t="s">
        <v>39</v>
      </c>
    </row>
    <row r="3" spans="1:2" x14ac:dyDescent="0.25">
      <c r="A3" t="s">
        <v>40</v>
      </c>
      <c r="B3" s="23" t="s">
        <v>41</v>
      </c>
    </row>
    <row r="4" spans="1:2" x14ac:dyDescent="0.25">
      <c r="A4" t="s">
        <v>22</v>
      </c>
      <c r="B4" s="23" t="s">
        <v>22</v>
      </c>
    </row>
    <row r="5" spans="1:2" s="19" customFormat="1" x14ac:dyDescent="0.25">
      <c r="A5" s="19" t="s">
        <v>42</v>
      </c>
      <c r="B5" s="24" t="s">
        <v>22</v>
      </c>
    </row>
    <row r="6" spans="1:2" x14ac:dyDescent="0.25">
      <c r="A6" t="s">
        <v>43</v>
      </c>
      <c r="B6" s="23" t="s">
        <v>44</v>
      </c>
    </row>
    <row r="7" spans="1:2" x14ac:dyDescent="0.25">
      <c r="A7" t="s">
        <v>45</v>
      </c>
      <c r="B7" s="23" t="s">
        <v>46</v>
      </c>
    </row>
    <row r="8" spans="1:2" x14ac:dyDescent="0.25">
      <c r="A8" t="s">
        <v>6</v>
      </c>
      <c r="B8" s="23" t="s">
        <v>47</v>
      </c>
    </row>
    <row r="9" spans="1:2" x14ac:dyDescent="0.25">
      <c r="A9" t="s">
        <v>8</v>
      </c>
      <c r="B9" s="23" t="s">
        <v>48</v>
      </c>
    </row>
    <row r="10" spans="1:2" x14ac:dyDescent="0.25">
      <c r="A10" t="s">
        <v>49</v>
      </c>
      <c r="B10" s="23" t="s">
        <v>50</v>
      </c>
    </row>
    <row r="11" spans="1:2" x14ac:dyDescent="0.25">
      <c r="A11" t="s">
        <v>22</v>
      </c>
      <c r="B11" s="23" t="s">
        <v>22</v>
      </c>
    </row>
    <row r="12" spans="1:2" s="19" customFormat="1" x14ac:dyDescent="0.25">
      <c r="A12" s="19" t="s">
        <v>51</v>
      </c>
      <c r="B12" s="24" t="s">
        <v>22</v>
      </c>
    </row>
    <row r="13" spans="1:2" x14ac:dyDescent="0.25">
      <c r="A13" t="s">
        <v>52</v>
      </c>
      <c r="B13" s="23" t="s">
        <v>53</v>
      </c>
    </row>
    <row r="14" spans="1:2" x14ac:dyDescent="0.25">
      <c r="A14" t="s">
        <v>54</v>
      </c>
      <c r="B14" s="23" t="s">
        <v>55</v>
      </c>
    </row>
    <row r="15" spans="1:2" x14ac:dyDescent="0.25">
      <c r="A15" t="s">
        <v>56</v>
      </c>
      <c r="B15" s="23" t="s">
        <v>57</v>
      </c>
    </row>
    <row r="16" spans="1:2" x14ac:dyDescent="0.25">
      <c r="A16" t="s">
        <v>22</v>
      </c>
      <c r="B16" s="23" t="s">
        <v>22</v>
      </c>
    </row>
    <row r="17" spans="1:2" s="19" customFormat="1" x14ac:dyDescent="0.25">
      <c r="A17" s="19" t="s">
        <v>58</v>
      </c>
      <c r="B17" s="24" t="s">
        <v>22</v>
      </c>
    </row>
    <row r="18" spans="1:2" x14ac:dyDescent="0.25">
      <c r="A18" t="s">
        <v>59</v>
      </c>
      <c r="B18" s="23" t="s">
        <v>60</v>
      </c>
    </row>
    <row r="19" spans="1:2" x14ac:dyDescent="0.25">
      <c r="A19" t="s">
        <v>61</v>
      </c>
      <c r="B19" s="23" t="s">
        <v>62</v>
      </c>
    </row>
    <row r="20" spans="1:2" x14ac:dyDescent="0.25">
      <c r="A20" t="s">
        <v>63</v>
      </c>
      <c r="B20" s="2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Landed Cost &amp; Margin</vt:lpstr>
      <vt:lpstr>Annual P&amp;L</vt:lpstr>
      <vt:lpstr>Assumptions &amp;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dc:title/>
  <dc:subject/>
  <dc:description/>
  <cp:keywords/>
  <cp:category/>
  <cp:lastModifiedBy>Unknown</cp:lastModifiedBy>
  <dcterms:created xsi:type="dcterms:W3CDTF">2026-07-11T21:47:47Z</dcterms:created>
  <dcterms:modified xsi:type="dcterms:W3CDTF">2026-07-11T21:47:47Z</dcterms:modified>
</cp:coreProperties>
</file>