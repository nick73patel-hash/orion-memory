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eet Model" state="visible" r:id="rId4"/>
    <sheet sheetId="2" name="Fleet Summary" state="visible" r:id="rId5"/>
    <sheet sheetId="3" name="Assumptions &amp; Notes" state="visible" r:id="rId6"/>
  </sheets>
  <calcPr calcId="171027"/>
</workbook>
</file>

<file path=xl/sharedStrings.xml><?xml version="1.0" encoding="utf-8"?>
<sst xmlns="http://schemas.openxmlformats.org/spreadsheetml/2006/main" count="160" uniqueCount="116">
  <si>
    <t>Vehicle</t>
  </si>
  <si>
    <t>Category</t>
  </si>
  <si>
    <t>Purchase Price</t>
  </si>
  <si>
    <t>Down Payment</t>
  </si>
  <si>
    <t>Amount Financed</t>
  </si>
  <si>
    <t>APR</t>
  </si>
  <si>
    <t>Term (yrs)</t>
  </si>
  <si>
    <t>Annual Loan Pmt</t>
  </si>
  <si>
    <t>Winter Tires</t>
  </si>
  <si>
    <t>Summer Tires</t>
  </si>
  <si>
    <t>Roof Box (Thule)</t>
  </si>
  <si>
    <t>12V AC Fridge</t>
  </si>
  <si>
    <t>Camping Pack (opt)</t>
  </si>
  <si>
    <t>Total Kit</t>
  </si>
  <si>
    <t>Kit Amort/Yr</t>
  </si>
  <si>
    <t>Tire Refresh/Yr</t>
  </si>
  <si>
    <t>Insurance/Yr</t>
  </si>
  <si>
    <t>Maintenance/Yr</t>
  </si>
  <si>
    <t>Misc/Yr</t>
  </si>
  <si>
    <t>Rate/Day</t>
  </si>
  <si>
    <t>Days/Mo</t>
  </si>
  <si>
    <t>Rental Days/Yr</t>
  </si>
  <si>
    <t>Rental Rev/Yr</t>
  </si>
  <si>
    <t>Camp $/Day</t>
  </si>
  <si>
    <t>Camp Attach %</t>
  </si>
  <si>
    <t>Camp Rev/Yr</t>
  </si>
  <si>
    <t>Gross Rev/Yr</t>
  </si>
  <si>
    <t>Merchant Fee 3%</t>
  </si>
  <si>
    <t>Net/Yr During Loan</t>
  </si>
  <si>
    <t>Net/Yr Post-Loan</t>
  </si>
  <si>
    <t>Residual %</t>
  </si>
  <si>
    <t>Residual $ (5yr)</t>
  </si>
  <si>
    <t>Avg Miles/Rental Day</t>
  </si>
  <si>
    <t>Total Miles (5yr)</t>
  </si>
  <si>
    <t>5-Yr Cumulative Profit</t>
  </si>
  <si>
    <t>Porsche 911 Carrera Cabriolet</t>
  </si>
  <si>
    <t>Exotic / Sports</t>
  </si>
  <si>
    <t>Porsche 356 Spyder (vintage)</t>
  </si>
  <si>
    <t>Classic / Exotic</t>
  </si>
  <si>
    <t>Toyota 4WD Minivan (Sienna AWD)</t>
  </si>
  <si>
    <t>Family / Van</t>
  </si>
  <si>
    <t>Mazda Miata (ND)</t>
  </si>
  <si>
    <t>Sports / Fun</t>
  </si>
  <si>
    <t>Chevrolet C8 Corvette</t>
  </si>
  <si>
    <t>Land Rover Defender 130</t>
  </si>
  <si>
    <t>Luxury Adventure</t>
  </si>
  <si>
    <t>Lotus Emira (V6 auto)</t>
  </si>
  <si>
    <t>Chevrolet C7 Corvette</t>
  </si>
  <si>
    <t>Sports</t>
  </si>
  <si>
    <t>Jeep Wrangler</t>
  </si>
  <si>
    <t>Off-Road</t>
  </si>
  <si>
    <t>Toyota Tacoma</t>
  </si>
  <si>
    <t>Adventure Truck</t>
  </si>
  <si>
    <t>Toyota Land Cruiser</t>
  </si>
  <si>
    <t>Premium SUV</t>
  </si>
  <si>
    <t>Lexus GX 550</t>
  </si>
  <si>
    <t>Luxury Family SUV</t>
  </si>
  <si>
    <t>Toyota Supra</t>
  </si>
  <si>
    <t>Lexus LX 600</t>
  </si>
  <si>
    <t>Full-Size Luxury</t>
  </si>
  <si>
    <t>Ineos Grenadier</t>
  </si>
  <si>
    <t>Rugged Adventure</t>
  </si>
  <si>
    <t>Mercedes R-Class (2012)</t>
  </si>
  <si>
    <t>Ski / Family Hauler</t>
  </si>
  <si>
    <t>FLEET TOTAL</t>
  </si>
  <si>
    <t/>
  </si>
  <si>
    <t>FLEET SUMMARY (16 vehicles)</t>
  </si>
  <si>
    <t>Total Purchase Price</t>
  </si>
  <si>
    <t>Total Vehicle Kit (incl. camping)</t>
  </si>
  <si>
    <t>Total Capital Deployed</t>
  </si>
  <si>
    <t>Total Rental Revenue / Yr</t>
  </si>
  <si>
    <t>Total Camping Upsell / Yr</t>
  </si>
  <si>
    <t>Total Gross Revenue / Yr</t>
  </si>
  <si>
    <t>Total Merchant Fees / Yr (3%)</t>
  </si>
  <si>
    <t>Total Tire Refresh Reserve / Yr</t>
  </si>
  <si>
    <t>Total Net / Yr — During Loan</t>
  </si>
  <si>
    <t>Total Net / Yr — Post-Loan</t>
  </si>
  <si>
    <t>Total Residual Value @ 5 Yrs</t>
  </si>
  <si>
    <t>Total Fleet Mileage @ 5 Yrs</t>
  </si>
  <si>
    <t>Total 5-Yr Cumulative Profit</t>
  </si>
  <si>
    <t>Avg Net/Yr per Vehicle (During Loan)</t>
  </si>
  <si>
    <t>5-Yr ROI on Capital</t>
  </si>
  <si>
    <t>GLOBAL ASSUMPTIONS</t>
  </si>
  <si>
    <t>Financing</t>
  </si>
  <si>
    <t>6% APR, 5-yr term, monthly amortization, $0 down (editable per row)</t>
  </si>
  <si>
    <t>Merchant processing</t>
  </si>
  <si>
    <t>3% of gross (own-website booking via Stripe/card — no Turo/platform commission)</t>
  </si>
  <si>
    <t>Business model</t>
  </si>
  <si>
    <t>Rent direct through own website. Based in Denver near the I-70 corridor.</t>
  </si>
  <si>
    <t>VEHICLE KIT (one-time, amortized over 5 yrs)</t>
  </si>
  <si>
    <t>Sports / exotic</t>
  </si>
  <si>
    <t>NOW carry tires: winter $1,600 + summer $1,400. No roof box / fridge / camping.</t>
  </si>
  <si>
    <t>SUV / truck</t>
  </si>
  <si>
    <t>Winter studded $2,200 · Summer AT/MT $1,600 · Roof box $1,000 · Fridge $900 · Camping $1,500</t>
  </si>
  <si>
    <t>Van / family</t>
  </si>
  <si>
    <t>Winter studded $1,400 · Summer all-season $1,000 · Roof box $1,000 · Fridge $900 · Camping $1,500</t>
  </si>
  <si>
    <t>Camping pack</t>
  </si>
  <si>
    <t>Optional add-on — carried on SUVs &amp; vans only. Generates upsell revenue (see below).</t>
  </si>
  <si>
    <t>TIRE REFRESH (ongoing)</t>
  </si>
  <si>
    <t>= (Winter + Summer tires) ÷ 3-yr tire life. Funds replacement as studded/perf tires wear.</t>
  </si>
  <si>
    <t>Applies</t>
  </si>
  <si>
    <t>Hits BOTH during-loan and post-loan net — tires keep wearing after the car is paid off.</t>
  </si>
  <si>
    <t>CAMPING UPSELL REVENUE</t>
  </si>
  <si>
    <t>$35/day add-on when a guest rents the camping pack</t>
  </si>
  <si>
    <t>25% of rental days include the camping pack (SUVs &amp; vans)</t>
  </si>
  <si>
    <t>= Rental Days/Yr × Attach % × Camp $/Day. Added into Gross Revenue.</t>
  </si>
  <si>
    <t>5-YEAR OUTPUTS</t>
  </si>
  <si>
    <t>Resale as % of purchase price by type. Porsche/Toyota/Lexus hold value; 356 appreciates (105%); R-Class weakest (60%).</t>
  </si>
  <si>
    <t>= Purchase Price × Residual %</t>
  </si>
  <si>
    <t>= Rental Days/Yr × Avg Miles/Rental Day × 5</t>
  </si>
  <si>
    <t>= (Net/Yr During Loan × 5) + Residual Value − Down Payment</t>
  </si>
  <si>
    <t>HOW TO USE</t>
  </si>
  <si>
    <t>Edit any white cell</t>
  </si>
  <si>
    <t>Prices, rates, days/mo, kit costs, camp attach %, residual %, miles/day all recalc automatically.</t>
  </si>
  <si>
    <t>Under-consideration cars</t>
  </si>
  <si>
    <t>Lexus LX 600, Ineos Grenadier, Mercedes R-Class still "under consideration" — included for comparison.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</si>
</sst>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"/>
    <numFmt numFmtId="165" formatCode="#,##0.0"/>
    <numFmt numFmtId="166" formatCode="0.0%"/>
  </numFmts>
  <fonts count="5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</font>
    <font>
      <b/>
      <sz val="13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9" fontId="0" fillId="0" borderId="0" xfId="0" applyNumberFormat="1"/>
    <xf numFmtId="3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9" fontId="1" fillId="2" borderId="0" xfId="0" applyNumberFormat="1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9" fontId="2" fillId="3" borderId="0" xfId="0" applyNumberFormat="1" applyFont="1" applyFill="1"/>
    <xf numFmtId="3" fontId="2" fillId="3" borderId="0" xfId="0" applyNumberFormat="1" applyFont="1" applyFill="1"/>
    <xf numFmtId="165" fontId="2" fillId="3" borderId="0" xfId="0" applyNumberFormat="1" applyFont="1" applyFill="1"/>
    <xf numFmtId="0" fontId="3" fillId="0" borderId="0" xfId="0" applyFont="1"/>
    <xf numFmtId="164" fontId="2" fillId="0" borderId="0" xfId="0" applyNumberFormat="1" applyFont="1"/>
    <xf numFmtId="166" fontId="0" fillId="0" borderId="0" xfId="0" applyNumberFormat="1"/>
    <xf numFmtId="0" fontId="0" fillId="0" borderId="0" xfId="0" applyAlignment="1">
      <alignment vertical="top" wrapText="1"/>
    </xf>
    <xf numFmtId="0" fontId="4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20" customWidth="1"/>
    <col min="3" max="5" width="13" style="1" customWidth="1"/>
    <col min="6" max="6" width="13" style="2" customWidth="1"/>
    <col min="7" max="7" width="13" style="3" customWidth="1"/>
    <col min="8" max="20" width="13" style="1" customWidth="1"/>
    <col min="21" max="21" width="13" style="4" customWidth="1"/>
    <col min="22" max="22" width="13" style="3" customWidth="1"/>
    <col min="23" max="24" width="13" style="1" customWidth="1"/>
    <col min="25" max="25" width="13" style="2" customWidth="1"/>
    <col min="26" max="30" width="13" style="1" customWidth="1"/>
    <col min="31" max="31" width="13" style="2" customWidth="1"/>
    <col min="32" max="32" width="13" style="1" customWidth="1"/>
    <col min="33" max="34" width="13" style="3" customWidth="1"/>
    <col min="35" max="35" width="13" style="1" customWidth="1"/>
  </cols>
  <sheetData>
    <row r="1" ht="42" customHeight="1" spans="1:35" s="5" customFormat="1" x14ac:dyDescent="0.25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9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10" t="s">
        <v>20</v>
      </c>
      <c r="V1" s="9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7" t="s">
        <v>31</v>
      </c>
      <c r="AG1" s="9" t="s">
        <v>32</v>
      </c>
      <c r="AH1" s="9" t="s">
        <v>33</v>
      </c>
      <c r="AI1" s="7" t="s">
        <v>34</v>
      </c>
    </row>
    <row r="2" spans="1:35" x14ac:dyDescent="0.25">
      <c r="A2" t="s">
        <v>35</v>
      </c>
      <c r="B2" t="s">
        <v>36</v>
      </c>
      <c r="C2" s="1">
        <v>60000</v>
      </c>
      <c r="D2" s="1">
        <v>0</v>
      </c>
      <c r="E2" s="1">
        <f>C2-D2</f>
      </c>
      <c r="F2" s="2">
        <v>0.06</v>
      </c>
      <c r="G2" s="3">
        <v>5</v>
      </c>
      <c r="H2" s="1">
        <f>PMT(F2/12,G2*12,-E2)*12</f>
      </c>
      <c r="I2" s="1">
        <v>1600</v>
      </c>
      <c r="J2" s="1">
        <v>1400</v>
      </c>
      <c r="K2" s="1">
        <v>0</v>
      </c>
      <c r="L2" s="1">
        <v>0</v>
      </c>
      <c r="M2" s="1">
        <v>0</v>
      </c>
      <c r="N2" s="1">
        <f>SUM(I2:M2)</f>
      </c>
      <c r="O2" s="1">
        <f>N2/G2</f>
      </c>
      <c r="P2" s="1">
        <f>(I2+J2)/3</f>
      </c>
      <c r="Q2" s="1">
        <v>2500</v>
      </c>
      <c r="R2" s="1">
        <v>5000</v>
      </c>
      <c r="S2" s="1">
        <v>1500</v>
      </c>
      <c r="T2" s="1">
        <v>335</v>
      </c>
      <c r="U2" s="4">
        <v>13</v>
      </c>
      <c r="V2" s="3">
        <f>U2*12</f>
      </c>
      <c r="W2" s="1">
        <f>T2*V2</f>
      </c>
      <c r="X2" s="1">
        <v>0</v>
      </c>
      <c r="Y2" s="2">
        <v>0</v>
      </c>
      <c r="Z2" s="1">
        <f>V2*Y2*X2</f>
      </c>
      <c r="AA2" s="1">
        <f>W2+Z2</f>
      </c>
      <c r="AB2" s="1">
        <f>AA2*0.03</f>
      </c>
      <c r="AC2" s="1">
        <f>AA2-AB2-H2-O2-P2-Q2-R2-S2</f>
      </c>
      <c r="AD2" s="1">
        <f>AA2-AB2-P2-Q2-R2-S2</f>
      </c>
      <c r="AE2" s="2">
        <v>0.85</v>
      </c>
      <c r="AF2" s="1">
        <f>C2*AE2</f>
      </c>
      <c r="AG2" s="3">
        <v>100</v>
      </c>
      <c r="AH2" s="3">
        <f>V2*AG2*5</f>
      </c>
      <c r="AI2" s="1">
        <f>AC2*5+AF2-D2</f>
      </c>
    </row>
    <row r="3" spans="1:35" x14ac:dyDescent="0.25">
      <c r="A3" t="s">
        <v>37</v>
      </c>
      <c r="B3" t="s">
        <v>38</v>
      </c>
      <c r="C3" s="1">
        <v>45000</v>
      </c>
      <c r="D3" s="1">
        <v>0</v>
      </c>
      <c r="E3" s="1">
        <f>C3-D3</f>
      </c>
      <c r="F3" s="2">
        <v>0.06</v>
      </c>
      <c r="G3" s="3">
        <v>5</v>
      </c>
      <c r="H3" s="1">
        <f>PMT(F3/12,G3*12,-E3)*12</f>
      </c>
      <c r="I3" s="1">
        <v>1600</v>
      </c>
      <c r="J3" s="1">
        <v>1400</v>
      </c>
      <c r="K3" s="1">
        <v>0</v>
      </c>
      <c r="L3" s="1">
        <v>0</v>
      </c>
      <c r="M3" s="1">
        <v>0</v>
      </c>
      <c r="N3" s="1">
        <f>SUM(I3:M3)</f>
      </c>
      <c r="O3" s="1">
        <f>N3/G3</f>
      </c>
      <c r="P3" s="1">
        <f>(I3+J3)/3</f>
      </c>
      <c r="Q3" s="1">
        <v>2500</v>
      </c>
      <c r="R3" s="1">
        <v>4000</v>
      </c>
      <c r="S3" s="1">
        <v>1200</v>
      </c>
      <c r="T3" s="1">
        <v>300</v>
      </c>
      <c r="U3" s="4">
        <v>8</v>
      </c>
      <c r="V3" s="3">
        <f>U3*12</f>
      </c>
      <c r="W3" s="1">
        <f>T3*V3</f>
      </c>
      <c r="X3" s="1">
        <v>0</v>
      </c>
      <c r="Y3" s="2">
        <v>0</v>
      </c>
      <c r="Z3" s="1">
        <f>V3*Y3*X3</f>
      </c>
      <c r="AA3" s="1">
        <f>W3+Z3</f>
      </c>
      <c r="AB3" s="1">
        <f>AA3*0.03</f>
      </c>
      <c r="AC3" s="1">
        <f>AA3-AB3-H3-O3-P3-Q3-R3-S3</f>
      </c>
      <c r="AD3" s="1">
        <f>AA3-AB3-P3-Q3-R3-S3</f>
      </c>
      <c r="AE3" s="2">
        <v>1.05</v>
      </c>
      <c r="AF3" s="1">
        <f>C3*AE3</f>
      </c>
      <c r="AG3" s="3">
        <v>60</v>
      </c>
      <c r="AH3" s="3">
        <f>V3*AG3*5</f>
      </c>
      <c r="AI3" s="1">
        <f>AC3*5+AF3-D3</f>
      </c>
    </row>
    <row r="4" spans="1:35" x14ac:dyDescent="0.25">
      <c r="A4" t="s">
        <v>39</v>
      </c>
      <c r="B4" t="s">
        <v>40</v>
      </c>
      <c r="C4" s="1">
        <v>45000</v>
      </c>
      <c r="D4" s="1">
        <v>0</v>
      </c>
      <c r="E4" s="1">
        <f>C4-D4</f>
      </c>
      <c r="F4" s="2">
        <v>0.06</v>
      </c>
      <c r="G4" s="3">
        <v>5</v>
      </c>
      <c r="H4" s="1">
        <f>PMT(F4/12,G4*12,-E4)*12</f>
      </c>
      <c r="I4" s="1">
        <v>1400</v>
      </c>
      <c r="J4" s="1">
        <v>1000</v>
      </c>
      <c r="K4" s="1">
        <v>1000</v>
      </c>
      <c r="L4" s="1">
        <v>900</v>
      </c>
      <c r="M4" s="1">
        <v>1500</v>
      </c>
      <c r="N4" s="1">
        <f>SUM(I4:M4)</f>
      </c>
      <c r="O4" s="1">
        <f>N4/G4</f>
      </c>
      <c r="P4" s="1">
        <f>(I4+J4)/3</f>
      </c>
      <c r="Q4" s="1">
        <v>1800</v>
      </c>
      <c r="R4" s="1">
        <v>2500</v>
      </c>
      <c r="S4" s="1">
        <v>1000</v>
      </c>
      <c r="T4" s="1">
        <v>150</v>
      </c>
      <c r="U4" s="4">
        <v>15</v>
      </c>
      <c r="V4" s="3">
        <f>U4*12</f>
      </c>
      <c r="W4" s="1">
        <f>T4*V4</f>
      </c>
      <c r="X4" s="1">
        <v>35</v>
      </c>
      <c r="Y4" s="2">
        <v>0.25</v>
      </c>
      <c r="Z4" s="1">
        <f>V4*Y4*X4</f>
      </c>
      <c r="AA4" s="1">
        <f>W4+Z4</f>
      </c>
      <c r="AB4" s="1">
        <f>AA4*0.03</f>
      </c>
      <c r="AC4" s="1">
        <f>AA4-AB4-H4-O4-P4-Q4-R4-S4</f>
      </c>
      <c r="AD4" s="1">
        <f>AA4-AB4-P4-Q4-R4-S4</f>
      </c>
      <c r="AE4" s="2">
        <v>0.62</v>
      </c>
      <c r="AF4" s="1">
        <f>C4*AE4</f>
      </c>
      <c r="AG4" s="3">
        <v>130</v>
      </c>
      <c r="AH4" s="3">
        <f>V4*AG4*5</f>
      </c>
      <c r="AI4" s="1">
        <f>AC4*5+AF4-D4</f>
      </c>
    </row>
    <row r="5" spans="1:35" x14ac:dyDescent="0.25">
      <c r="A5" t="s">
        <v>41</v>
      </c>
      <c r="B5" t="s">
        <v>42</v>
      </c>
      <c r="C5" s="1">
        <v>32000</v>
      </c>
      <c r="D5" s="1">
        <v>0</v>
      </c>
      <c r="E5" s="1">
        <f>C5-D5</f>
      </c>
      <c r="F5" s="2">
        <v>0.06</v>
      </c>
      <c r="G5" s="3">
        <v>5</v>
      </c>
      <c r="H5" s="1">
        <f>PMT(F5/12,G5*12,-E5)*12</f>
      </c>
      <c r="I5" s="1">
        <v>1600</v>
      </c>
      <c r="J5" s="1">
        <v>1400</v>
      </c>
      <c r="K5" s="1">
        <v>0</v>
      </c>
      <c r="L5" s="1">
        <v>0</v>
      </c>
      <c r="M5" s="1">
        <v>0</v>
      </c>
      <c r="N5" s="1">
        <f>SUM(I5:M5)</f>
      </c>
      <c r="O5" s="1">
        <f>N5/G5</f>
      </c>
      <c r="P5" s="1">
        <f>(I5+J5)/3</f>
      </c>
      <c r="Q5" s="1">
        <v>1800</v>
      </c>
      <c r="R5" s="1">
        <v>2500</v>
      </c>
      <c r="S5" s="1">
        <v>1000</v>
      </c>
      <c r="T5" s="1">
        <v>120</v>
      </c>
      <c r="U5" s="4">
        <v>12</v>
      </c>
      <c r="V5" s="3">
        <f>U5*12</f>
      </c>
      <c r="W5" s="1">
        <f>T5*V5</f>
      </c>
      <c r="X5" s="1">
        <v>0</v>
      </c>
      <c r="Y5" s="2">
        <v>0</v>
      </c>
      <c r="Z5" s="1">
        <f>V5*Y5*X5</f>
      </c>
      <c r="AA5" s="1">
        <f>W5+Z5</f>
      </c>
      <c r="AB5" s="1">
        <f>AA5*0.03</f>
      </c>
      <c r="AC5" s="1">
        <f>AA5-AB5-H5-O5-P5-Q5-R5-S5</f>
      </c>
      <c r="AD5" s="1">
        <f>AA5-AB5-P5-Q5-R5-S5</f>
      </c>
      <c r="AE5" s="2">
        <v>0.68</v>
      </c>
      <c r="AF5" s="1">
        <f>C5*AE5</f>
      </c>
      <c r="AG5" s="3">
        <v>100</v>
      </c>
      <c r="AH5" s="3">
        <f>V5*AG5*5</f>
      </c>
      <c r="AI5" s="1">
        <f>AC5*5+AF5-D5</f>
      </c>
    </row>
    <row r="6" spans="1:35" x14ac:dyDescent="0.25">
      <c r="A6" t="s">
        <v>43</v>
      </c>
      <c r="B6" t="s">
        <v>36</v>
      </c>
      <c r="C6" s="1">
        <v>75000</v>
      </c>
      <c r="D6" s="1">
        <v>0</v>
      </c>
      <c r="E6" s="1">
        <f>C6-D6</f>
      </c>
      <c r="F6" s="2">
        <v>0.06</v>
      </c>
      <c r="G6" s="3">
        <v>5</v>
      </c>
      <c r="H6" s="1">
        <f>PMT(F6/12,G6*12,-E6)*12</f>
      </c>
      <c r="I6" s="1">
        <v>1600</v>
      </c>
      <c r="J6" s="1">
        <v>1400</v>
      </c>
      <c r="K6" s="1">
        <v>0</v>
      </c>
      <c r="L6" s="1">
        <v>0</v>
      </c>
      <c r="M6" s="1">
        <v>0</v>
      </c>
      <c r="N6" s="1">
        <f>SUM(I6:M6)</f>
      </c>
      <c r="O6" s="1">
        <f>N6/G6</f>
      </c>
      <c r="P6" s="1">
        <f>(I6+J6)/3</f>
      </c>
      <c r="Q6" s="1">
        <v>2500</v>
      </c>
      <c r="R6" s="1">
        <v>4500</v>
      </c>
      <c r="S6" s="1">
        <v>1500</v>
      </c>
      <c r="T6" s="1">
        <v>395</v>
      </c>
      <c r="U6" s="4">
        <v>12</v>
      </c>
      <c r="V6" s="3">
        <f>U6*12</f>
      </c>
      <c r="W6" s="1">
        <f>T6*V6</f>
      </c>
      <c r="X6" s="1">
        <v>0</v>
      </c>
      <c r="Y6" s="2">
        <v>0</v>
      </c>
      <c r="Z6" s="1">
        <f>V6*Y6*X6</f>
      </c>
      <c r="AA6" s="1">
        <f>W6+Z6</f>
      </c>
      <c r="AB6" s="1">
        <f>AA6*0.03</f>
      </c>
      <c r="AC6" s="1">
        <f>AA6-AB6-H6-O6-P6-Q6-R6-S6</f>
      </c>
      <c r="AD6" s="1">
        <f>AA6-AB6-P6-Q6-R6-S6</f>
      </c>
      <c r="AE6" s="2">
        <v>0.75</v>
      </c>
      <c r="AF6" s="1">
        <f>C6*AE6</f>
      </c>
      <c r="AG6" s="3">
        <v>90</v>
      </c>
      <c r="AH6" s="3">
        <f>V6*AG6*5</f>
      </c>
      <c r="AI6" s="1">
        <f>AC6*5+AF6-D6</f>
      </c>
    </row>
    <row r="7" spans="1:35" x14ac:dyDescent="0.25">
      <c r="A7" t="s">
        <v>44</v>
      </c>
      <c r="B7" t="s">
        <v>45</v>
      </c>
      <c r="C7" s="1">
        <v>60000</v>
      </c>
      <c r="D7" s="1">
        <v>0</v>
      </c>
      <c r="E7" s="1">
        <f>C7-D7</f>
      </c>
      <c r="F7" s="2">
        <v>0.06</v>
      </c>
      <c r="G7" s="3">
        <v>5</v>
      </c>
      <c r="H7" s="1">
        <f>PMT(F7/12,G7*12,-E7)*12</f>
      </c>
      <c r="I7" s="1">
        <v>2200</v>
      </c>
      <c r="J7" s="1">
        <v>1600</v>
      </c>
      <c r="K7" s="1">
        <v>1000</v>
      </c>
      <c r="L7" s="1">
        <v>900</v>
      </c>
      <c r="M7" s="1">
        <v>1500</v>
      </c>
      <c r="N7" s="1">
        <f>SUM(I7:M7)</f>
      </c>
      <c r="O7" s="1">
        <f>N7/G7</f>
      </c>
      <c r="P7" s="1">
        <f>(I7+J7)/3</f>
      </c>
      <c r="Q7" s="1">
        <v>2200</v>
      </c>
      <c r="R7" s="1">
        <v>3500</v>
      </c>
      <c r="S7" s="1">
        <v>1500</v>
      </c>
      <c r="T7" s="1">
        <v>325</v>
      </c>
      <c r="U7" s="4">
        <v>15</v>
      </c>
      <c r="V7" s="3">
        <f>U7*12</f>
      </c>
      <c r="W7" s="1">
        <f>T7*V7</f>
      </c>
      <c r="X7" s="1">
        <v>35</v>
      </c>
      <c r="Y7" s="2">
        <v>0.25</v>
      </c>
      <c r="Z7" s="1">
        <f>V7*Y7*X7</f>
      </c>
      <c r="AA7" s="1">
        <f>W7+Z7</f>
      </c>
      <c r="AB7" s="1">
        <f>AA7*0.03</f>
      </c>
      <c r="AC7" s="1">
        <f>AA7-AB7-H7-O7-P7-Q7-R7-S7</f>
      </c>
      <c r="AD7" s="1">
        <f>AA7-AB7-P7-Q7-R7-S7</f>
      </c>
      <c r="AE7" s="2">
        <v>0.8</v>
      </c>
      <c r="AF7" s="1">
        <f>C7*AE7</f>
      </c>
      <c r="AG7" s="3">
        <v>120</v>
      </c>
      <c r="AH7" s="3">
        <f>V7*AG7*5</f>
      </c>
      <c r="AI7" s="1">
        <f>AC7*5+AF7-D7</f>
      </c>
    </row>
    <row r="8" spans="1:35" x14ac:dyDescent="0.25">
      <c r="A8" t="s">
        <v>46</v>
      </c>
      <c r="B8" t="s">
        <v>36</v>
      </c>
      <c r="C8" s="1">
        <v>100000</v>
      </c>
      <c r="D8" s="1">
        <v>0</v>
      </c>
      <c r="E8" s="1">
        <f>C8-D8</f>
      </c>
      <c r="F8" s="2">
        <v>0.06</v>
      </c>
      <c r="G8" s="3">
        <v>5</v>
      </c>
      <c r="H8" s="1">
        <f>PMT(F8/12,G8*12,-E8)*12</f>
      </c>
      <c r="I8" s="1">
        <v>1600</v>
      </c>
      <c r="J8" s="1">
        <v>1400</v>
      </c>
      <c r="K8" s="1">
        <v>0</v>
      </c>
      <c r="L8" s="1">
        <v>0</v>
      </c>
      <c r="M8" s="1">
        <v>0</v>
      </c>
      <c r="N8" s="1">
        <f>SUM(I8:M8)</f>
      </c>
      <c r="O8" s="1">
        <f>N8/G8</f>
      </c>
      <c r="P8" s="1">
        <f>(I8+J8)/3</f>
      </c>
      <c r="Q8" s="1">
        <v>2800</v>
      </c>
      <c r="R8" s="1">
        <v>5000</v>
      </c>
      <c r="S8" s="1">
        <v>1500</v>
      </c>
      <c r="T8" s="1">
        <v>425</v>
      </c>
      <c r="U8" s="4">
        <v>10</v>
      </c>
      <c r="V8" s="3">
        <f>U8*12</f>
      </c>
      <c r="W8" s="1">
        <f>T8*V8</f>
      </c>
      <c r="X8" s="1">
        <v>0</v>
      </c>
      <c r="Y8" s="2">
        <v>0</v>
      </c>
      <c r="Z8" s="1">
        <f>V8*Y8*X8</f>
      </c>
      <c r="AA8" s="1">
        <f>W8+Z8</f>
      </c>
      <c r="AB8" s="1">
        <f>AA8*0.03</f>
      </c>
      <c r="AC8" s="1">
        <f>AA8-AB8-H8-O8-P8-Q8-R8-S8</f>
      </c>
      <c r="AD8" s="1">
        <f>AA8-AB8-P8-Q8-R8-S8</f>
      </c>
      <c r="AE8" s="2">
        <v>0.68</v>
      </c>
      <c r="AF8" s="1">
        <f>C8*AE8</f>
      </c>
      <c r="AG8" s="3">
        <v>80</v>
      </c>
      <c r="AH8" s="3">
        <f>V8*AG8*5</f>
      </c>
      <c r="AI8" s="1">
        <f>AC8*5+AF8-D8</f>
      </c>
    </row>
    <row r="9" spans="1:35" x14ac:dyDescent="0.25">
      <c r="A9" t="s">
        <v>47</v>
      </c>
      <c r="B9" t="s">
        <v>48</v>
      </c>
      <c r="C9" s="1">
        <v>55000</v>
      </c>
      <c r="D9" s="1">
        <v>0</v>
      </c>
      <c r="E9" s="1">
        <f>C9-D9</f>
      </c>
      <c r="F9" s="2">
        <v>0.06</v>
      </c>
      <c r="G9" s="3">
        <v>5</v>
      </c>
      <c r="H9" s="1">
        <f>PMT(F9/12,G9*12,-E9)*12</f>
      </c>
      <c r="I9" s="1">
        <v>1600</v>
      </c>
      <c r="J9" s="1">
        <v>1400</v>
      </c>
      <c r="K9" s="1">
        <v>0</v>
      </c>
      <c r="L9" s="1">
        <v>0</v>
      </c>
      <c r="M9" s="1">
        <v>0</v>
      </c>
      <c r="N9" s="1">
        <f>SUM(I9:M9)</f>
      </c>
      <c r="O9" s="1">
        <f>N9/G9</f>
      </c>
      <c r="P9" s="1">
        <f>(I9+J9)/3</f>
      </c>
      <c r="Q9" s="1">
        <v>2200</v>
      </c>
      <c r="R9" s="1">
        <v>3500</v>
      </c>
      <c r="S9" s="1">
        <v>1200</v>
      </c>
      <c r="T9" s="1">
        <v>275</v>
      </c>
      <c r="U9" s="4">
        <v>12</v>
      </c>
      <c r="V9" s="3">
        <f>U9*12</f>
      </c>
      <c r="W9" s="1">
        <f>T9*V9</f>
      </c>
      <c r="X9" s="1">
        <v>0</v>
      </c>
      <c r="Y9" s="2">
        <v>0</v>
      </c>
      <c r="Z9" s="1">
        <f>V9*Y9*X9</f>
      </c>
      <c r="AA9" s="1">
        <f>W9+Z9</f>
      </c>
      <c r="AB9" s="1">
        <f>AA9*0.03</f>
      </c>
      <c r="AC9" s="1">
        <f>AA9-AB9-H9-O9-P9-Q9-R9-S9</f>
      </c>
      <c r="AD9" s="1">
        <f>AA9-AB9-P9-Q9-R9-S9</f>
      </c>
      <c r="AE9" s="2">
        <v>0.62</v>
      </c>
      <c r="AF9" s="1">
        <f>C9*AE9</f>
      </c>
      <c r="AG9" s="3">
        <v>100</v>
      </c>
      <c r="AH9" s="3">
        <f>V9*AG9*5</f>
      </c>
      <c r="AI9" s="1">
        <f>AC9*5+AF9-D9</f>
      </c>
    </row>
    <row r="10" spans="1:35" x14ac:dyDescent="0.25">
      <c r="A10" t="s">
        <v>49</v>
      </c>
      <c r="B10" t="s">
        <v>50</v>
      </c>
      <c r="C10" s="1">
        <v>45000</v>
      </c>
      <c r="D10" s="1">
        <v>0</v>
      </c>
      <c r="E10" s="1">
        <f>C10-D10</f>
      </c>
      <c r="F10" s="2">
        <v>0.06</v>
      </c>
      <c r="G10" s="3">
        <v>5</v>
      </c>
      <c r="H10" s="1">
        <f>PMT(F10/12,G10*12,-E10)*12</f>
      </c>
      <c r="I10" s="1">
        <v>2200</v>
      </c>
      <c r="J10" s="1">
        <v>1600</v>
      </c>
      <c r="K10" s="1">
        <v>1000</v>
      </c>
      <c r="L10" s="1">
        <v>900</v>
      </c>
      <c r="M10" s="1">
        <v>1500</v>
      </c>
      <c r="N10" s="1">
        <f>SUM(I10:M10)</f>
      </c>
      <c r="O10" s="1">
        <f>N10/G10</f>
      </c>
      <c r="P10" s="1">
        <f>(I10+J10)/3</f>
      </c>
      <c r="Q10" s="1">
        <v>2000</v>
      </c>
      <c r="R10" s="1">
        <v>3000</v>
      </c>
      <c r="S10" s="1">
        <v>1200</v>
      </c>
      <c r="T10" s="1">
        <v>200</v>
      </c>
      <c r="U10" s="4">
        <v>15</v>
      </c>
      <c r="V10" s="3">
        <f>U10*12</f>
      </c>
      <c r="W10" s="1">
        <f>T10*V10</f>
      </c>
      <c r="X10" s="1">
        <v>35</v>
      </c>
      <c r="Y10" s="2">
        <v>0.25</v>
      </c>
      <c r="Z10" s="1">
        <f>V10*Y10*X10</f>
      </c>
      <c r="AA10" s="1">
        <f>W10+Z10</f>
      </c>
      <c r="AB10" s="1">
        <f>AA10*0.03</f>
      </c>
      <c r="AC10" s="1">
        <f>AA10-AB10-H10-O10-P10-Q10-R10-S10</f>
      </c>
      <c r="AD10" s="1">
        <f>AA10-AB10-P10-Q10-R10-S10</f>
      </c>
      <c r="AE10" s="2">
        <v>0.68</v>
      </c>
      <c r="AF10" s="1">
        <f>C10*AE10</f>
      </c>
      <c r="AG10" s="3">
        <v>130</v>
      </c>
      <c r="AH10" s="3">
        <f>V10*AG10*5</f>
      </c>
      <c r="AI10" s="1">
        <f>AC10*5+AF10-D10</f>
      </c>
    </row>
    <row r="11" spans="1:35" x14ac:dyDescent="0.25">
      <c r="A11" t="s">
        <v>51</v>
      </c>
      <c r="B11" t="s">
        <v>52</v>
      </c>
      <c r="C11" s="1">
        <v>45000</v>
      </c>
      <c r="D11" s="1">
        <v>0</v>
      </c>
      <c r="E11" s="1">
        <f>C11-D11</f>
      </c>
      <c r="F11" s="2">
        <v>0.06</v>
      </c>
      <c r="G11" s="3">
        <v>5</v>
      </c>
      <c r="H11" s="1">
        <f>PMT(F11/12,G11*12,-E11)*12</f>
      </c>
      <c r="I11" s="1">
        <v>2200</v>
      </c>
      <c r="J11" s="1">
        <v>1600</v>
      </c>
      <c r="K11" s="1">
        <v>1000</v>
      </c>
      <c r="L11" s="1">
        <v>900</v>
      </c>
      <c r="M11" s="1">
        <v>1500</v>
      </c>
      <c r="N11" s="1">
        <f>SUM(I11:M11)</f>
      </c>
      <c r="O11" s="1">
        <f>N11/G11</f>
      </c>
      <c r="P11" s="1">
        <f>(I11+J11)/3</f>
      </c>
      <c r="Q11" s="1">
        <v>2000</v>
      </c>
      <c r="R11" s="1">
        <v>2800</v>
      </c>
      <c r="S11" s="1">
        <v>1200</v>
      </c>
      <c r="T11" s="1">
        <v>185</v>
      </c>
      <c r="U11" s="4">
        <v>15</v>
      </c>
      <c r="V11" s="3">
        <f>U11*12</f>
      </c>
      <c r="W11" s="1">
        <f>T11*V11</f>
      </c>
      <c r="X11" s="1">
        <v>35</v>
      </c>
      <c r="Y11" s="2">
        <v>0.25</v>
      </c>
      <c r="Z11" s="1">
        <f>V11*Y11*X11</f>
      </c>
      <c r="AA11" s="1">
        <f>W11+Z11</f>
      </c>
      <c r="AB11" s="1">
        <f>AA11*0.03</f>
      </c>
      <c r="AC11" s="1">
        <f>AA11-AB11-H11-O11-P11-Q11-R11-S11</f>
      </c>
      <c r="AD11" s="1">
        <f>AA11-AB11-P11-Q11-R11-S11</f>
      </c>
      <c r="AE11" s="2">
        <v>0.72</v>
      </c>
      <c r="AF11" s="1">
        <f>C11*AE11</f>
      </c>
      <c r="AG11" s="3">
        <v>130</v>
      </c>
      <c r="AH11" s="3">
        <f>V11*AG11*5</f>
      </c>
      <c r="AI11" s="1">
        <f>AC11*5+AF11-D11</f>
      </c>
    </row>
    <row r="12" spans="1:35" x14ac:dyDescent="0.25">
      <c r="A12" t="s">
        <v>53</v>
      </c>
      <c r="B12" t="s">
        <v>54</v>
      </c>
      <c r="C12" s="1">
        <v>85000</v>
      </c>
      <c r="D12" s="1">
        <v>0</v>
      </c>
      <c r="E12" s="1">
        <f>C12-D12</f>
      </c>
      <c r="F12" s="2">
        <v>0.06</v>
      </c>
      <c r="G12" s="3">
        <v>5</v>
      </c>
      <c r="H12" s="1">
        <f>PMT(F12/12,G12*12,-E12)*12</f>
      </c>
      <c r="I12" s="1">
        <v>2200</v>
      </c>
      <c r="J12" s="1">
        <v>1600</v>
      </c>
      <c r="K12" s="1">
        <v>1000</v>
      </c>
      <c r="L12" s="1">
        <v>900</v>
      </c>
      <c r="M12" s="1">
        <v>1500</v>
      </c>
      <c r="N12" s="1">
        <f>SUM(I12:M12)</f>
      </c>
      <c r="O12" s="1">
        <f>N12/G12</f>
      </c>
      <c r="P12" s="1">
        <f>(I12+J12)/3</f>
      </c>
      <c r="Q12" s="1">
        <v>2300</v>
      </c>
      <c r="R12" s="1">
        <v>3500</v>
      </c>
      <c r="S12" s="1">
        <v>1500</v>
      </c>
      <c r="T12" s="1">
        <v>350</v>
      </c>
      <c r="U12" s="4">
        <v>13</v>
      </c>
      <c r="V12" s="3">
        <f>U12*12</f>
      </c>
      <c r="W12" s="1">
        <f>T12*V12</f>
      </c>
      <c r="X12" s="1">
        <v>35</v>
      </c>
      <c r="Y12" s="2">
        <v>0.25</v>
      </c>
      <c r="Z12" s="1">
        <f>V12*Y12*X12</f>
      </c>
      <c r="AA12" s="1">
        <f>W12+Z12</f>
      </c>
      <c r="AB12" s="1">
        <f>AA12*0.03</f>
      </c>
      <c r="AC12" s="1">
        <f>AA12-AB12-H12-O12-P12-Q12-R12-S12</f>
      </c>
      <c r="AD12" s="1">
        <f>AA12-AB12-P12-Q12-R12-S12</f>
      </c>
      <c r="AE12" s="2">
        <v>0.78</v>
      </c>
      <c r="AF12" s="1">
        <f>C12*AE12</f>
      </c>
      <c r="AG12" s="3">
        <v>120</v>
      </c>
      <c r="AH12" s="3">
        <f>V12*AG12*5</f>
      </c>
      <c r="AI12" s="1">
        <f>AC12*5+AF12-D12</f>
      </c>
    </row>
    <row r="13" spans="1:35" x14ac:dyDescent="0.25">
      <c r="A13" t="s">
        <v>55</v>
      </c>
      <c r="B13" t="s">
        <v>56</v>
      </c>
      <c r="C13" s="1">
        <v>70000</v>
      </c>
      <c r="D13" s="1">
        <v>0</v>
      </c>
      <c r="E13" s="1">
        <f>C13-D13</f>
      </c>
      <c r="F13" s="2">
        <v>0.06</v>
      </c>
      <c r="G13" s="3">
        <v>5</v>
      </c>
      <c r="H13" s="1">
        <f>PMT(F13/12,G13*12,-E13)*12</f>
      </c>
      <c r="I13" s="1">
        <v>2200</v>
      </c>
      <c r="J13" s="1">
        <v>1600</v>
      </c>
      <c r="K13" s="1">
        <v>1000</v>
      </c>
      <c r="L13" s="1">
        <v>900</v>
      </c>
      <c r="M13" s="1">
        <v>1500</v>
      </c>
      <c r="N13" s="1">
        <f>SUM(I13:M13)</f>
      </c>
      <c r="O13" s="1">
        <f>N13/G13</f>
      </c>
      <c r="P13" s="1">
        <f>(I13+J13)/3</f>
      </c>
      <c r="Q13" s="1">
        <v>2200</v>
      </c>
      <c r="R13" s="1">
        <v>3200</v>
      </c>
      <c r="S13" s="1">
        <v>1500</v>
      </c>
      <c r="T13" s="1">
        <v>325</v>
      </c>
      <c r="U13" s="4">
        <v>14</v>
      </c>
      <c r="V13" s="3">
        <f>U13*12</f>
      </c>
      <c r="W13" s="1">
        <f>T13*V13</f>
      </c>
      <c r="X13" s="1">
        <v>35</v>
      </c>
      <c r="Y13" s="2">
        <v>0.25</v>
      </c>
      <c r="Z13" s="1">
        <f>V13*Y13*X13</f>
      </c>
      <c r="AA13" s="1">
        <f>W13+Z13</f>
      </c>
      <c r="AB13" s="1">
        <f>AA13*0.03</f>
      </c>
      <c r="AC13" s="1">
        <f>AA13-AB13-H13-O13-P13-Q13-R13-S13</f>
      </c>
      <c r="AD13" s="1">
        <f>AA13-AB13-P13-Q13-R13-S13</f>
      </c>
      <c r="AE13" s="2">
        <v>0.7</v>
      </c>
      <c r="AF13" s="1">
        <f>C13*AE13</f>
      </c>
      <c r="AG13" s="3">
        <v>120</v>
      </c>
      <c r="AH13" s="3">
        <f>V13*AG13*5</f>
      </c>
      <c r="AI13" s="1">
        <f>AC13*5+AF13-D13</f>
      </c>
    </row>
    <row r="14" spans="1:35" x14ac:dyDescent="0.25">
      <c r="A14" t="s">
        <v>57</v>
      </c>
      <c r="B14" t="s">
        <v>48</v>
      </c>
      <c r="C14" s="1">
        <v>52000</v>
      </c>
      <c r="D14" s="1">
        <v>0</v>
      </c>
      <c r="E14" s="1">
        <f>C14-D14</f>
      </c>
      <c r="F14" s="2">
        <v>0.06</v>
      </c>
      <c r="G14" s="3">
        <v>5</v>
      </c>
      <c r="H14" s="1">
        <f>PMT(F14/12,G14*12,-E14)*12</f>
      </c>
      <c r="I14" s="1">
        <v>1600</v>
      </c>
      <c r="J14" s="1">
        <v>1400</v>
      </c>
      <c r="K14" s="1">
        <v>0</v>
      </c>
      <c r="L14" s="1">
        <v>0</v>
      </c>
      <c r="M14" s="1">
        <v>0</v>
      </c>
      <c r="N14" s="1">
        <f>SUM(I14:M14)</f>
      </c>
      <c r="O14" s="1">
        <f>N14/G14</f>
      </c>
      <c r="P14" s="1">
        <f>(I14+J14)/3</f>
      </c>
      <c r="Q14" s="1">
        <v>2000</v>
      </c>
      <c r="R14" s="1">
        <v>3000</v>
      </c>
      <c r="S14" s="1">
        <v>1200</v>
      </c>
      <c r="T14" s="1">
        <v>250</v>
      </c>
      <c r="U14" s="4">
        <v>14</v>
      </c>
      <c r="V14" s="3">
        <f>U14*12</f>
      </c>
      <c r="W14" s="1">
        <f>T14*V14</f>
      </c>
      <c r="X14" s="1">
        <v>0</v>
      </c>
      <c r="Y14" s="2">
        <v>0</v>
      </c>
      <c r="Z14" s="1">
        <f>V14*Y14*X14</f>
      </c>
      <c r="AA14" s="1">
        <f>W14+Z14</f>
      </c>
      <c r="AB14" s="1">
        <f>AA14*0.03</f>
      </c>
      <c r="AC14" s="1">
        <f>AA14-AB14-H14-O14-P14-Q14-R14-S14</f>
      </c>
      <c r="AD14" s="1">
        <f>AA14-AB14-P14-Q14-R14-S14</f>
      </c>
      <c r="AE14" s="2">
        <v>0.65</v>
      </c>
      <c r="AF14" s="1">
        <f>C14*AE14</f>
      </c>
      <c r="AG14" s="3">
        <v>100</v>
      </c>
      <c r="AH14" s="3">
        <f>V14*AG14*5</f>
      </c>
      <c r="AI14" s="1">
        <f>AC14*5+AF14-D14</f>
      </c>
    </row>
    <row r="15" spans="1:35" x14ac:dyDescent="0.25">
      <c r="A15" t="s">
        <v>58</v>
      </c>
      <c r="B15" t="s">
        <v>59</v>
      </c>
      <c r="C15" s="1">
        <v>95000</v>
      </c>
      <c r="D15" s="1">
        <v>0</v>
      </c>
      <c r="E15" s="1">
        <f>C15-D15</f>
      </c>
      <c r="F15" s="2">
        <v>0.06</v>
      </c>
      <c r="G15" s="3">
        <v>5</v>
      </c>
      <c r="H15" s="1">
        <f>PMT(F15/12,G15*12,-E15)*12</f>
      </c>
      <c r="I15" s="1">
        <v>2200</v>
      </c>
      <c r="J15" s="1">
        <v>1600</v>
      </c>
      <c r="K15" s="1">
        <v>1000</v>
      </c>
      <c r="L15" s="1">
        <v>900</v>
      </c>
      <c r="M15" s="1">
        <v>1500</v>
      </c>
      <c r="N15" s="1">
        <f>SUM(I15:M15)</f>
      </c>
      <c r="O15" s="1">
        <f>N15/G15</f>
      </c>
      <c r="P15" s="1">
        <f>(I15+J15)/3</f>
      </c>
      <c r="Q15" s="1">
        <v>2500</v>
      </c>
      <c r="R15" s="1">
        <v>4000</v>
      </c>
      <c r="S15" s="1">
        <v>1500</v>
      </c>
      <c r="T15" s="1">
        <v>475</v>
      </c>
      <c r="U15" s="4">
        <v>14</v>
      </c>
      <c r="V15" s="3">
        <f>U15*12</f>
      </c>
      <c r="W15" s="1">
        <f>T15*V15</f>
      </c>
      <c r="X15" s="1">
        <v>35</v>
      </c>
      <c r="Y15" s="2">
        <v>0.25</v>
      </c>
      <c r="Z15" s="1">
        <f>V15*Y15*X15</f>
      </c>
      <c r="AA15" s="1">
        <f>W15+Z15</f>
      </c>
      <c r="AB15" s="1">
        <f>AA15*0.03</f>
      </c>
      <c r="AC15" s="1">
        <f>AA15-AB15-H15-O15-P15-Q15-R15-S15</f>
      </c>
      <c r="AD15" s="1">
        <f>AA15-AB15-P15-Q15-R15-S15</f>
      </c>
      <c r="AE15" s="2">
        <v>0.72</v>
      </c>
      <c r="AF15" s="1">
        <f>C15*AE15</f>
      </c>
      <c r="AG15" s="3">
        <v>110</v>
      </c>
      <c r="AH15" s="3">
        <f>V15*AG15*5</f>
      </c>
      <c r="AI15" s="1">
        <f>AC15*5+AF15-D15</f>
      </c>
    </row>
    <row r="16" spans="1:35" x14ac:dyDescent="0.25">
      <c r="A16" t="s">
        <v>60</v>
      </c>
      <c r="B16" t="s">
        <v>61</v>
      </c>
      <c r="C16" s="1">
        <v>75000</v>
      </c>
      <c r="D16" s="1">
        <v>0</v>
      </c>
      <c r="E16" s="1">
        <f>C16-D16</f>
      </c>
      <c r="F16" s="2">
        <v>0.06</v>
      </c>
      <c r="G16" s="3">
        <v>5</v>
      </c>
      <c r="H16" s="1">
        <f>PMT(F16/12,G16*12,-E16)*12</f>
      </c>
      <c r="I16" s="1">
        <v>2200</v>
      </c>
      <c r="J16" s="1">
        <v>1600</v>
      </c>
      <c r="K16" s="1">
        <v>1000</v>
      </c>
      <c r="L16" s="1">
        <v>900</v>
      </c>
      <c r="M16" s="1">
        <v>1500</v>
      </c>
      <c r="N16" s="1">
        <f>SUM(I16:M16)</f>
      </c>
      <c r="O16" s="1">
        <f>N16/G16</f>
      </c>
      <c r="P16" s="1">
        <f>(I16+J16)/3</f>
      </c>
      <c r="Q16" s="1">
        <v>2200</v>
      </c>
      <c r="R16" s="1">
        <v>3500</v>
      </c>
      <c r="S16" s="1">
        <v>1500</v>
      </c>
      <c r="T16" s="1">
        <v>325</v>
      </c>
      <c r="U16" s="4">
        <v>15</v>
      </c>
      <c r="V16" s="3">
        <f>U16*12</f>
      </c>
      <c r="W16" s="1">
        <f>T16*V16</f>
      </c>
      <c r="X16" s="1">
        <v>35</v>
      </c>
      <c r="Y16" s="2">
        <v>0.25</v>
      </c>
      <c r="Z16" s="1">
        <f>V16*Y16*X16</f>
      </c>
      <c r="AA16" s="1">
        <f>W16+Z16</f>
      </c>
      <c r="AB16" s="1">
        <f>AA16*0.03</f>
      </c>
      <c r="AC16" s="1">
        <f>AA16-AB16-H16-O16-P16-Q16-R16-S16</f>
      </c>
      <c r="AD16" s="1">
        <f>AA16-AB16-P16-Q16-R16-S16</f>
      </c>
      <c r="AE16" s="2">
        <v>0.72</v>
      </c>
      <c r="AF16" s="1">
        <f>C16*AE16</f>
      </c>
      <c r="AG16" s="3">
        <v>120</v>
      </c>
      <c r="AH16" s="3">
        <f>V16*AG16*5</f>
      </c>
      <c r="AI16" s="1">
        <f>AC16*5+AF16-D16</f>
      </c>
    </row>
    <row r="17" spans="1:35" x14ac:dyDescent="0.25">
      <c r="A17" t="s">
        <v>62</v>
      </c>
      <c r="B17" t="s">
        <v>63</v>
      </c>
      <c r="C17" s="1">
        <v>10000</v>
      </c>
      <c r="D17" s="1">
        <v>0</v>
      </c>
      <c r="E17" s="1">
        <f>C17-D17</f>
      </c>
      <c r="F17" s="2">
        <v>0.06</v>
      </c>
      <c r="G17" s="3">
        <v>5</v>
      </c>
      <c r="H17" s="1">
        <f>PMT(F17/12,G17*12,-E17)*12</f>
      </c>
      <c r="I17" s="1">
        <v>1400</v>
      </c>
      <c r="J17" s="1">
        <v>1000</v>
      </c>
      <c r="K17" s="1">
        <v>1000</v>
      </c>
      <c r="L17" s="1">
        <v>900</v>
      </c>
      <c r="M17" s="1">
        <v>1500</v>
      </c>
      <c r="N17" s="1">
        <f>SUM(I17:M17)</f>
      </c>
      <c r="O17" s="1">
        <f>N17/G17</f>
      </c>
      <c r="P17" s="1">
        <f>(I17+J17)/3</f>
      </c>
      <c r="Q17" s="1">
        <v>1500</v>
      </c>
      <c r="R17" s="1">
        <v>2500</v>
      </c>
      <c r="S17" s="1">
        <v>1000</v>
      </c>
      <c r="T17" s="1">
        <v>150</v>
      </c>
      <c r="U17" s="4">
        <v>12.5</v>
      </c>
      <c r="V17" s="3">
        <f>U17*12</f>
      </c>
      <c r="W17" s="1">
        <f>T17*V17</f>
      </c>
      <c r="X17" s="1">
        <v>35</v>
      </c>
      <c r="Y17" s="2">
        <v>0.25</v>
      </c>
      <c r="Z17" s="1">
        <f>V17*Y17*X17</f>
      </c>
      <c r="AA17" s="1">
        <f>W17+Z17</f>
      </c>
      <c r="AB17" s="1">
        <f>AA17*0.03</f>
      </c>
      <c r="AC17" s="1">
        <f>AA17-AB17-H17-O17-P17-Q17-R17-S17</f>
      </c>
      <c r="AD17" s="1">
        <f>AA17-AB17-P17-Q17-R17-S17</f>
      </c>
      <c r="AE17" s="2">
        <v>0.6</v>
      </c>
      <c r="AF17" s="1">
        <f>C17*AE17</f>
      </c>
      <c r="AG17" s="3">
        <v>130</v>
      </c>
      <c r="AH17" s="3">
        <f>V17*AG17*5</f>
      </c>
      <c r="AI17" s="1">
        <f>AC17*5+AF17-D17</f>
      </c>
    </row>
    <row r="18" spans="1:35" s="11" customFormat="1" x14ac:dyDescent="0.25">
      <c r="A18" s="12" t="s">
        <v>64</v>
      </c>
      <c r="B18" s="12" t="s">
        <v>65</v>
      </c>
      <c r="C18" s="13">
        <f>SUM(C2:C17)</f>
      </c>
      <c r="D18" s="13">
        <f>SUM(D2:D17)</f>
      </c>
      <c r="E18" s="13">
        <f>SUM(E2:E17)</f>
      </c>
      <c r="F18" s="14" t="s">
        <v>65</v>
      </c>
      <c r="G18" s="15" t="s">
        <v>65</v>
      </c>
      <c r="H18" s="13">
        <f>SUM(H2:H17)</f>
      </c>
      <c r="I18" s="13">
        <f>SUM(I2:I17)</f>
      </c>
      <c r="J18" s="13">
        <f>SUM(J2:J17)</f>
      </c>
      <c r="K18" s="13">
        <f>SUM(K2:K17)</f>
      </c>
      <c r="L18" s="13">
        <f>SUM(L2:L17)</f>
      </c>
      <c r="M18" s="13">
        <f>SUM(M2:M17)</f>
      </c>
      <c r="N18" s="13">
        <f>SUM(N2:N17)</f>
      </c>
      <c r="O18" s="13">
        <f>SUM(O2:O17)</f>
      </c>
      <c r="P18" s="13">
        <f>SUM(P2:P17)</f>
      </c>
      <c r="Q18" s="13">
        <f>SUM(Q2:Q17)</f>
      </c>
      <c r="R18" s="13">
        <f>SUM(R2:R17)</f>
      </c>
      <c r="S18" s="13">
        <f>SUM(S2:S17)</f>
      </c>
      <c r="T18" s="13" t="s">
        <v>65</v>
      </c>
      <c r="U18" s="16" t="s">
        <v>65</v>
      </c>
      <c r="V18" s="15">
        <f>SUM(V2:V17)</f>
      </c>
      <c r="W18" s="13">
        <f>SUM(W2:W17)</f>
      </c>
      <c r="X18" s="13" t="s">
        <v>65</v>
      </c>
      <c r="Y18" s="14" t="s">
        <v>65</v>
      </c>
      <c r="Z18" s="13">
        <f>SUM(Z2:Z17)</f>
      </c>
      <c r="AA18" s="13">
        <f>SUM(AA2:AA17)</f>
      </c>
      <c r="AB18" s="13">
        <f>SUM(AB2:AB17)</f>
      </c>
      <c r="AC18" s="13">
        <f>SUM(AC2:AC17)</f>
      </c>
      <c r="AD18" s="13">
        <f>SUM(AD2:AD17)</f>
      </c>
      <c r="AE18" s="14" t="s">
        <v>65</v>
      </c>
      <c r="AF18" s="13">
        <f>SUM(AF2:AF17)</f>
      </c>
      <c r="AG18" s="15" t="s">
        <v>65</v>
      </c>
      <c r="AH18" s="15">
        <f>SUM(AH2:AH17)</f>
      </c>
      <c r="AI18" s="13">
        <f>SUM(AI2:AI17)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36" customWidth="1"/>
    <col min="2" max="2" width="18" customWidth="1"/>
  </cols>
  <sheetData>
    <row r="1" spans="1:2" s="17" customFormat="1" x14ac:dyDescent="0.25">
      <c r="A1" s="17" t="s">
        <v>66</v>
      </c>
      <c r="B1" s="17" t="s">
        <v>65</v>
      </c>
    </row>
    <row r="2" spans="1:2" x14ac:dyDescent="0.25">
      <c r="A2" t="s">
        <v>65</v>
      </c>
      <c r="B2" t="s">
        <v>65</v>
      </c>
    </row>
    <row r="3" spans="1:2" x14ac:dyDescent="0.25">
      <c r="A3" t="s">
        <v>67</v>
      </c>
      <c r="B3" s="1">
        <f>SUM('Fleet Model'!C2:C17)</f>
      </c>
    </row>
    <row r="4" spans="1:2" x14ac:dyDescent="0.25">
      <c r="A4" t="s">
        <v>68</v>
      </c>
      <c r="B4" s="1">
        <f>SUM('Fleet Model'!N2:N17)</f>
      </c>
    </row>
    <row r="5" spans="1:2" s="11" customFormat="1" x14ac:dyDescent="0.25">
      <c r="A5" s="11" t="s">
        <v>69</v>
      </c>
      <c r="B5" s="18">
        <f>SUM('Fleet Model'!C2:C17)+SUM('Fleet Model'!N2:N17)</f>
      </c>
    </row>
    <row r="6" spans="1:2" x14ac:dyDescent="0.25">
      <c r="A6" t="s">
        <v>65</v>
      </c>
      <c r="B6" t="s">
        <v>65</v>
      </c>
    </row>
    <row r="7" spans="1:2" x14ac:dyDescent="0.25">
      <c r="A7" t="s">
        <v>70</v>
      </c>
      <c r="B7" s="1">
        <f>SUM('Fleet Model'!W2:W17)</f>
      </c>
    </row>
    <row r="8" spans="1:2" x14ac:dyDescent="0.25">
      <c r="A8" t="s">
        <v>71</v>
      </c>
      <c r="B8" s="1">
        <f>SUM('Fleet Model'!Z2:Z17)</f>
      </c>
    </row>
    <row r="9" spans="1:2" x14ac:dyDescent="0.25">
      <c r="A9" t="s">
        <v>72</v>
      </c>
      <c r="B9" s="1">
        <f>SUM('Fleet Model'!AA2:AA17)</f>
      </c>
    </row>
    <row r="10" spans="1:2" x14ac:dyDescent="0.25">
      <c r="A10" t="s">
        <v>73</v>
      </c>
      <c r="B10" s="1">
        <f>SUM('Fleet Model'!AB2:AB17)</f>
      </c>
    </row>
    <row r="11" spans="1:2" x14ac:dyDescent="0.25">
      <c r="A11" t="s">
        <v>74</v>
      </c>
      <c r="B11" s="1">
        <f>SUM('Fleet Model'!P2:P17)</f>
      </c>
    </row>
    <row r="12" spans="1:2" x14ac:dyDescent="0.25">
      <c r="A12" t="s">
        <v>75</v>
      </c>
      <c r="B12" s="1">
        <f>SUM('Fleet Model'!AC2:AC17)</f>
      </c>
    </row>
    <row r="13" spans="1:2" s="11" customFormat="1" x14ac:dyDescent="0.25">
      <c r="A13" s="11" t="s">
        <v>76</v>
      </c>
      <c r="B13" s="18">
        <f>SUM('Fleet Model'!AD2:AD17)</f>
      </c>
    </row>
    <row r="14" spans="1:2" x14ac:dyDescent="0.25">
      <c r="A14" t="s">
        <v>65</v>
      </c>
      <c r="B14" t="s">
        <v>65</v>
      </c>
    </row>
    <row r="15" spans="1:2" x14ac:dyDescent="0.25">
      <c r="A15" t="s">
        <v>77</v>
      </c>
      <c r="B15" s="1">
        <f>SUM('Fleet Model'!AF2:AF17)</f>
      </c>
    </row>
    <row r="16" spans="1:2" x14ac:dyDescent="0.25">
      <c r="A16" t="s">
        <v>78</v>
      </c>
      <c r="B16" s="3">
        <f>SUM('Fleet Model'!AH2:AH17)</f>
      </c>
    </row>
    <row r="17" spans="1:2" s="11" customFormat="1" x14ac:dyDescent="0.25">
      <c r="A17" s="11" t="s">
        <v>79</v>
      </c>
      <c r="B17" s="18">
        <f>SUM('Fleet Model'!AI2:AI17)</f>
      </c>
    </row>
    <row r="18" spans="1:2" x14ac:dyDescent="0.25">
      <c r="A18" t="s">
        <v>65</v>
      </c>
      <c r="B18" t="s">
        <v>65</v>
      </c>
    </row>
    <row r="19" spans="1:2" x14ac:dyDescent="0.25">
      <c r="A19" t="s">
        <v>80</v>
      </c>
      <c r="B19" s="1">
        <f>SUM('Fleet Model'!AC2:AC17)/16</f>
      </c>
    </row>
    <row r="20" spans="1:2" x14ac:dyDescent="0.25">
      <c r="A20" t="s">
        <v>81</v>
      </c>
      <c r="B20" s="19">
        <f>SUM('Fleet Model'!AI2:AI17)/(SUM('Fleet Model'!C2:C17)+SUM('Fleet Model'!N2:N17))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40" customWidth="1"/>
    <col min="2" max="2" width="62" style="20" customWidth="1"/>
  </cols>
  <sheetData>
    <row r="1" spans="1:2" s="21" customFormat="1" x14ac:dyDescent="0.25">
      <c r="A1" s="21" t="s">
        <v>82</v>
      </c>
      <c r="B1" s="22" t="s">
        <v>65</v>
      </c>
    </row>
    <row r="2" spans="1:2" x14ac:dyDescent="0.25">
      <c r="A2" t="s">
        <v>83</v>
      </c>
      <c r="B2" s="20" t="s">
        <v>84</v>
      </c>
    </row>
    <row r="3" spans="1:2" x14ac:dyDescent="0.25">
      <c r="A3" t="s">
        <v>85</v>
      </c>
      <c r="B3" s="20" t="s">
        <v>86</v>
      </c>
    </row>
    <row r="4" spans="1:2" x14ac:dyDescent="0.25">
      <c r="A4" t="s">
        <v>87</v>
      </c>
      <c r="B4" s="20" t="s">
        <v>88</v>
      </c>
    </row>
    <row r="5" spans="1:2" x14ac:dyDescent="0.25">
      <c r="A5" t="s">
        <v>65</v>
      </c>
      <c r="B5" s="20" t="s">
        <v>65</v>
      </c>
    </row>
    <row r="6" spans="1:2" x14ac:dyDescent="0.25">
      <c r="A6" t="s">
        <v>89</v>
      </c>
      <c r="B6" s="20" t="s">
        <v>65</v>
      </c>
    </row>
    <row r="7" spans="1:2" x14ac:dyDescent="0.25">
      <c r="A7" t="s">
        <v>90</v>
      </c>
      <c r="B7" s="20" t="s">
        <v>91</v>
      </c>
    </row>
    <row r="8" spans="1:2" x14ac:dyDescent="0.25">
      <c r="A8" t="s">
        <v>92</v>
      </c>
      <c r="B8" s="20" t="s">
        <v>93</v>
      </c>
    </row>
    <row r="9" spans="1:2" x14ac:dyDescent="0.25">
      <c r="A9" t="s">
        <v>94</v>
      </c>
      <c r="B9" s="20" t="s">
        <v>95</v>
      </c>
    </row>
    <row r="10" spans="1:2" x14ac:dyDescent="0.25">
      <c r="A10" t="s">
        <v>96</v>
      </c>
      <c r="B10" s="20" t="s">
        <v>97</v>
      </c>
    </row>
    <row r="11" spans="1:2" x14ac:dyDescent="0.25">
      <c r="A11" t="s">
        <v>65</v>
      </c>
      <c r="B11" s="20" t="s">
        <v>65</v>
      </c>
    </row>
    <row r="12" spans="1:2" x14ac:dyDescent="0.25">
      <c r="A12" t="s">
        <v>98</v>
      </c>
      <c r="B12" s="20" t="s">
        <v>65</v>
      </c>
    </row>
    <row r="13" spans="1:2" x14ac:dyDescent="0.25">
      <c r="A13" t="s">
        <v>15</v>
      </c>
      <c r="B13" s="20" t="s">
        <v>99</v>
      </c>
    </row>
    <row r="14" spans="1:2" x14ac:dyDescent="0.25">
      <c r="A14" t="s">
        <v>100</v>
      </c>
      <c r="B14" s="20" t="s">
        <v>101</v>
      </c>
    </row>
    <row r="15" spans="1:2" x14ac:dyDescent="0.25">
      <c r="A15" t="s">
        <v>65</v>
      </c>
      <c r="B15" s="20" t="s">
        <v>65</v>
      </c>
    </row>
    <row r="16" spans="1:2" s="21" customFormat="1" x14ac:dyDescent="0.25">
      <c r="A16" s="21" t="s">
        <v>102</v>
      </c>
      <c r="B16" s="22" t="s">
        <v>65</v>
      </c>
    </row>
    <row r="17" spans="1:2" x14ac:dyDescent="0.25">
      <c r="A17" t="s">
        <v>23</v>
      </c>
      <c r="B17" s="20" t="s">
        <v>103</v>
      </c>
    </row>
    <row r="18" spans="1:2" x14ac:dyDescent="0.25">
      <c r="A18" t="s">
        <v>24</v>
      </c>
      <c r="B18" s="20" t="s">
        <v>104</v>
      </c>
    </row>
    <row r="19" spans="1:2" x14ac:dyDescent="0.25">
      <c r="A19" t="s">
        <v>25</v>
      </c>
      <c r="B19" s="20" t="s">
        <v>105</v>
      </c>
    </row>
    <row r="20" spans="1:2" x14ac:dyDescent="0.25">
      <c r="A20" t="s">
        <v>65</v>
      </c>
      <c r="B20" s="20" t="s">
        <v>65</v>
      </c>
    </row>
    <row r="21" spans="1:2" s="21" customFormat="1" x14ac:dyDescent="0.25">
      <c r="A21" s="21" t="s">
        <v>106</v>
      </c>
      <c r="B21" s="22" t="s">
        <v>65</v>
      </c>
    </row>
    <row r="22" spans="1:2" x14ac:dyDescent="0.25">
      <c r="A22" t="s">
        <v>30</v>
      </c>
      <c r="B22" s="20" t="s">
        <v>107</v>
      </c>
    </row>
    <row r="23" spans="1:2" x14ac:dyDescent="0.25">
      <c r="A23" t="s">
        <v>31</v>
      </c>
      <c r="B23" s="20" t="s">
        <v>108</v>
      </c>
    </row>
    <row r="24" spans="1:2" x14ac:dyDescent="0.25">
      <c r="A24" t="s">
        <v>33</v>
      </c>
      <c r="B24" s="20" t="s">
        <v>109</v>
      </c>
    </row>
    <row r="25" spans="1:2" x14ac:dyDescent="0.25">
      <c r="A25" t="s">
        <v>34</v>
      </c>
      <c r="B25" s="20" t="s">
        <v>110</v>
      </c>
    </row>
    <row r="26" spans="1:2" x14ac:dyDescent="0.25">
      <c r="A26" t="s">
        <v>65</v>
      </c>
      <c r="B26" s="20" t="s">
        <v>65</v>
      </c>
    </row>
    <row r="27" spans="1:2" s="21" customFormat="1" x14ac:dyDescent="0.25">
      <c r="A27" s="21" t="s">
        <v>111</v>
      </c>
      <c r="B27" s="22" t="s">
        <v>65</v>
      </c>
    </row>
    <row r="28" spans="1:2" x14ac:dyDescent="0.25">
      <c r="A28" t="s">
        <v>112</v>
      </c>
      <c r="B28" s="20" t="s">
        <v>113</v>
      </c>
    </row>
    <row r="29" spans="1:2" x14ac:dyDescent="0.25">
      <c r="A29" t="s">
        <v>114</v>
      </c>
      <c r="B29" s="20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Fleet Model</vt:lpstr>
      <vt:lpstr>Fleet Summary</vt:lpstr>
      <vt:lpstr>Assumptions &amp;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dc:title/>
  <dc:subject/>
  <dc:description/>
  <cp:keywords/>
  <cp:category/>
  <cp:lastModifiedBy>Unknown</cp:lastModifiedBy>
  <dcterms:created xsi:type="dcterms:W3CDTF">2026-07-11T06:00:00Z</dcterms:created>
  <dcterms:modified xsi:type="dcterms:W3CDTF">2026-07-11T17:52:24Z</dcterms:modified>
</cp:coreProperties>
</file>