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icing" state="visible" r:id="rId4"/>
    <sheet sheetId="2" name="Revenue Model" state="visible" r:id="rId5"/>
    <sheet sheetId="3" name="Unit Economics" state="visible" r:id="rId6"/>
    <sheet sheetId="4" name="Rollout Ramp" state="visible" r:id="rId7"/>
    <sheet sheetId="5" name="Assumptions &amp; Notes" state="visible" r:id="rId8"/>
  </sheets>
  <calcPr calcId="171027"/>
</workbook>
</file>

<file path=xl/sharedStrings.xml><?xml version="1.0" encoding="utf-8"?>
<sst xmlns="http://schemas.openxmlformats.org/spreadsheetml/2006/main" count="120" uniqueCount="87">
  <si>
    <t>CONDO ASSISTANT — PRICING (per unit / month)</t>
  </si>
  <si>
    <t>Band</t>
  </si>
  <si>
    <t>Units</t>
  </si>
  <si>
    <t>Condo Assistant</t>
  </si>
  <si>
    <t>Auto Email</t>
  </si>
  <si>
    <t>Bundle (Both)</t>
  </si>
  <si>
    <t>Bundle Discount</t>
  </si>
  <si>
    <t>Base</t>
  </si>
  <si>
    <t>1–2 units</t>
  </si>
  <si>
    <t>Tier 1</t>
  </si>
  <si>
    <t>3–9 units</t>
  </si>
  <si>
    <t>Tier 2</t>
  </si>
  <si>
    <t>10–19 units</t>
  </si>
  <si>
    <t>Tier 3</t>
  </si>
  <si>
    <t>20–49 units</t>
  </si>
  <si>
    <t>Tier 4</t>
  </si>
  <si>
    <t>50+ units</t>
  </si>
  <si>
    <t>Note: single product = Condo Assistant OR Auto Email ($15 base). Bundle = both ($25 base). Volume breaks at 3, 10, 20, 50 units.</t>
  </si>
  <si>
    <t>REVENUE MODEL — at full penetration of target clients</t>
  </si>
  <si>
    <t>Total Target Clients</t>
  </si>
  <si>
    <t>Bundle Adoption %</t>
  </si>
  <si>
    <t>Single-Product %</t>
  </si>
  <si>
    <t>% Clients</t>
  </si>
  <si>
    <t># Clients</t>
  </si>
  <si>
    <t>Avg Units/Client</t>
  </si>
  <si>
    <t>Total Units</t>
  </si>
  <si>
    <t>Bundle $/unit</t>
  </si>
  <si>
    <t>Single $/unit</t>
  </si>
  <si>
    <t>Blended $/unit</t>
  </si>
  <si>
    <t>Monthly Revenue</t>
  </si>
  <si>
    <t>Annual Revenue</t>
  </si>
  <si>
    <t>TOTAL</t>
  </si>
  <si>
    <t/>
  </si>
  <si>
    <t>ARR at full penetration →</t>
  </si>
  <si>
    <t>UNIT ECONOMICS (at full scale)</t>
  </si>
  <si>
    <t>Avg Revenue / Unit / Month</t>
  </si>
  <si>
    <t>COGS / Unit / Month (AI + hosting + email)</t>
  </si>
  <si>
    <t>Stripe Fee (% of revenue, blended)</t>
  </si>
  <si>
    <t>Gross Profit / Unit / Month</t>
  </si>
  <si>
    <t>Gross Margin %</t>
  </si>
  <si>
    <t>PER CLIENT</t>
  </si>
  <si>
    <t>Avg Units / Client</t>
  </si>
  <si>
    <t>Avg Revenue / Client / Month</t>
  </si>
  <si>
    <t>Gross Profit / Client / Month</t>
  </si>
  <si>
    <t>CAC / LTV</t>
  </si>
  <si>
    <t>CAC — Customer Acquisition Cost</t>
  </si>
  <si>
    <t>Monthly Churn %</t>
  </si>
  <si>
    <t>Avg Customer Lifetime (months)</t>
  </si>
  <si>
    <t>LTV (gross profit)</t>
  </si>
  <si>
    <t>LTV : CAC Ratio</t>
  </si>
  <si>
    <t>CAC Payback (months)</t>
  </si>
  <si>
    <t>ROLLOUT RAMP TO 5,000 CLIENTS</t>
  </si>
  <si>
    <t>Year</t>
  </si>
  <si>
    <t>Clients</t>
  </si>
  <si>
    <t>% of Target</t>
  </si>
  <si>
    <t>Est. ARR</t>
  </si>
  <si>
    <t>Phase / Focus</t>
  </si>
  <si>
    <t>Year 1</t>
  </si>
  <si>
    <t>Pilot &amp; early adopters — WPM referrals, CO STR Facebook groups, VRBO/Airbnb host DMs</t>
  </si>
  <si>
    <t>Year 2</t>
  </si>
  <si>
    <t>Scale — Google Business + SEO, cold outreach to PM cos, Escapia/Guesty affiliate program</t>
  </si>
  <si>
    <t>Year 3</t>
  </si>
  <si>
    <t>Full penetration — paid search, demo videos, Product Hunt, referral flywheel</t>
  </si>
  <si>
    <t>HOW TO USE</t>
  </si>
  <si>
    <t>Editable inputs</t>
  </si>
  <si>
    <t>Pricing tiers, client distribution %, avg units/client, bundle adoption %, COGS, Stripe %, CAC, churn, ramp targets. Everything else calculates.</t>
  </si>
  <si>
    <t>PRICING</t>
  </si>
  <si>
    <t>$15 Condo Assistant · $15 Auto Email · $25 both (bundle)</t>
  </si>
  <si>
    <t>Volume breaks</t>
  </si>
  <si>
    <t>3, 10, 20, 50 units — per-unit price drops ~12% / 20% / 30% / 40% off bundle base</t>
  </si>
  <si>
    <t>REVENUE MODEL</t>
  </si>
  <si>
    <t>Target clients</t>
  </si>
  <si>
    <t>5,000 VRBO clients (owners + small PM companies)</t>
  </si>
  <si>
    <t>Client distribution</t>
  </si>
  <si>
    <t>Illustrative: 70% have 1–2 units, 20% have 3–9, 6% have 10–19, 3% have 20–49, 1% have 50+ — replace with real market data</t>
  </si>
  <si>
    <t>Bundle adoption</t>
  </si>
  <si>
    <t>65% take the bundle, 35% take a single product (editable)</t>
  </si>
  <si>
    <t>UNIT ECONOMICS</t>
  </si>
  <si>
    <t>COGS/unit/mo</t>
  </si>
  <si>
    <t>$3 placeholder — Claude API + hosting (Vercel/Supabase) + Resend email, per unit</t>
  </si>
  <si>
    <t>Stripe</t>
  </si>
  <si>
    <t>~3.5% blended (2.9% + $0.30/txn). You researched net-per-plan earlier.</t>
  </si>
  <si>
    <t>CAC / churn</t>
  </si>
  <si>
    <t>$150 CAC, 3% monthly churn — illustrative SaaS defaults; refine with real funnel data</t>
  </si>
  <si>
    <t>IMPORTANT</t>
  </si>
  <si>
    <t>All numbers are illustrative</t>
  </si>
  <si>
    <t>This is a planning model to show Alex the shape of the business. Distribution, COGS, CAC and churn are estimates — replace with real data as it comes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</si>
</sst>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0"/>
    <numFmt numFmtId="166" formatCode="$#,##0"/>
    <numFmt numFmtId="167" formatCode="0.0&quot;x&quot;"/>
  </numFmts>
  <fonts count="6" x14ac:knownFonts="1">
    <font>
      <color theme="1"/>
      <family val="2"/>
      <scheme val="minor"/>
      <sz val="11"/>
      <name val="Calibri"/>
    </font>
    <font>
      <b/>
      <sz val="13"/>
    </font>
    <font>
      <b/>
      <color rgb="FFFFFFFF"/>
    </font>
    <font>
      <color rgb="FF777777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/>
    <xf numFmtId="9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9" fontId="2" fillId="2" borderId="0" xfId="0" applyNumberFormat="1" applyFont="1" applyFill="1"/>
    <xf numFmtId="0" fontId="3" fillId="0" borderId="0" xfId="0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4" fillId="0" borderId="0" xfId="0" applyFont="1"/>
    <xf numFmtId="3" fontId="2" fillId="2" borderId="0" xfId="0" applyNumberFormat="1" applyFont="1" applyFill="1"/>
    <xf numFmtId="165" fontId="2" fillId="2" borderId="0" xfId="0" applyNumberFormat="1" applyFont="1" applyFill="1"/>
    <xf numFmtId="166" fontId="2" fillId="2" borderId="0" xfId="0" applyNumberFormat="1" applyFont="1" applyFill="1"/>
    <xf numFmtId="0" fontId="4" fillId="3" borderId="0" xfId="0" applyFont="1" applyFill="1"/>
    <xf numFmtId="9" fontId="4" fillId="3" borderId="0" xfId="0" applyNumberFormat="1" applyFont="1" applyFill="1"/>
    <xf numFmtId="3" fontId="4" fillId="3" borderId="0" xfId="0" applyNumberFormat="1" applyFont="1" applyFill="1"/>
    <xf numFmtId="165" fontId="4" fillId="3" borderId="0" xfId="0" applyNumberFormat="1" applyFont="1" applyFill="1"/>
    <xf numFmtId="164" fontId="4" fillId="3" borderId="0" xfId="0" applyNumberFormat="1" applyFont="1" applyFill="1"/>
    <xf numFmtId="166" fontId="4" fillId="3" borderId="0" xfId="0" applyNumberFormat="1" applyFont="1" applyFill="1"/>
    <xf numFmtId="166" fontId="5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0" fontId="4" fillId="4" borderId="0" xfId="0" applyFont="1" applyFill="1"/>
    <xf numFmtId="167" fontId="4" fillId="4" borderId="0" xfId="0" applyNumberFormat="1" applyFont="1" applyFill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5" fillId="0" borderId="0" xfId="0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FormatPr defaultRowHeight="15" outlineLevelRow="0" outlineLevelCol="0" x14ac:dyDescent="55"/>
  <cols>
    <col min="1" max="1" width="12" customWidth="1"/>
    <col min="2" max="2" width="14" customWidth="1"/>
    <col min="3" max="4" width="20" style="1" customWidth="1"/>
    <col min="5" max="5" width="22" style="1" customWidth="1"/>
    <col min="6" max="6" width="16" style="2" customWidth="1"/>
  </cols>
  <sheetData>
    <row r="1" spans="1:6" s="3" customFormat="1" x14ac:dyDescent="0.25">
      <c r="A1" s="3" t="s">
        <v>0</v>
      </c>
      <c r="C1" s="4"/>
      <c r="D1" s="4"/>
      <c r="E1" s="4"/>
      <c r="F1" s="5"/>
    </row>
    <row r="3" spans="1:6" s="6" customFormat="1" x14ac:dyDescent="0.25">
      <c r="A3" s="7" t="s">
        <v>1</v>
      </c>
      <c r="B3" s="7" t="s">
        <v>2</v>
      </c>
      <c r="C3" s="8" t="s">
        <v>3</v>
      </c>
      <c r="D3" s="8" t="s">
        <v>4</v>
      </c>
      <c r="E3" s="8" t="s">
        <v>5</v>
      </c>
      <c r="F3" s="9" t="s">
        <v>6</v>
      </c>
    </row>
    <row r="4" spans="1:6" x14ac:dyDescent="0.25">
      <c r="A4" t="s">
        <v>7</v>
      </c>
      <c r="B4" t="s">
        <v>8</v>
      </c>
      <c r="C4" s="1">
        <v>15</v>
      </c>
      <c r="D4" s="1">
        <v>15</v>
      </c>
      <c r="E4" s="1">
        <v>25</v>
      </c>
      <c r="F4" s="2">
        <f>1-E4/$E$4</f>
      </c>
    </row>
    <row r="5" spans="1:6" x14ac:dyDescent="0.25">
      <c r="A5" t="s">
        <v>9</v>
      </c>
      <c r="B5" t="s">
        <v>10</v>
      </c>
      <c r="C5" s="1">
        <v>13.25</v>
      </c>
      <c r="D5" s="1">
        <v>13.25</v>
      </c>
      <c r="E5" s="1">
        <v>22</v>
      </c>
      <c r="F5" s="2">
        <f>1-E5/$E$4</f>
      </c>
    </row>
    <row r="6" spans="1:6" x14ac:dyDescent="0.25">
      <c r="A6" t="s">
        <v>11</v>
      </c>
      <c r="B6" t="s">
        <v>12</v>
      </c>
      <c r="C6" s="1">
        <v>12</v>
      </c>
      <c r="D6" s="1">
        <v>12</v>
      </c>
      <c r="E6" s="1">
        <v>20</v>
      </c>
      <c r="F6" s="2">
        <f>1-E6/$E$4</f>
      </c>
    </row>
    <row r="7" spans="1:6" x14ac:dyDescent="0.25">
      <c r="A7" t="s">
        <v>13</v>
      </c>
      <c r="B7" t="s">
        <v>14</v>
      </c>
      <c r="C7" s="1">
        <v>10.5</v>
      </c>
      <c r="D7" s="1">
        <v>10.5</v>
      </c>
      <c r="E7" s="1">
        <v>17.5</v>
      </c>
      <c r="F7" s="2">
        <f>1-E7/$E$4</f>
      </c>
    </row>
    <row r="8" spans="1:6" x14ac:dyDescent="0.25">
      <c r="A8" t="s">
        <v>15</v>
      </c>
      <c r="B8" t="s">
        <v>16</v>
      </c>
      <c r="C8" s="1">
        <v>9</v>
      </c>
      <c r="D8" s="1">
        <v>9</v>
      </c>
      <c r="E8" s="1">
        <v>15</v>
      </c>
      <c r="F8" s="2">
        <f>1-E8/$E$4</f>
      </c>
    </row>
    <row r="10" spans="1:1" s="10" customFormat="1" x14ac:dyDescent="0.25">
      <c r="A10" s="10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FormatPr defaultRowHeight="15" outlineLevelRow="0" outlineLevelCol="0" x14ac:dyDescent="55"/>
  <cols>
    <col min="1" max="1" width="14" customWidth="1"/>
    <col min="2" max="2" width="12" style="2" customWidth="1"/>
    <col min="3" max="3" width="12" style="11" customWidth="1"/>
    <col min="4" max="4" width="14" style="12" customWidth="1"/>
    <col min="5" max="5" width="12" style="11" customWidth="1"/>
    <col min="6" max="8" width="14" style="1" customWidth="1"/>
    <col min="9" max="10" width="16" style="13" customWidth="1"/>
  </cols>
  <sheetData>
    <row r="1" spans="1:10" s="3" customFormat="1" x14ac:dyDescent="0.25">
      <c r="A1" s="3" t="s">
        <v>18</v>
      </c>
      <c r="B1" s="5"/>
      <c r="C1" s="14"/>
      <c r="D1" s="15"/>
      <c r="E1" s="14"/>
      <c r="F1" s="4"/>
      <c r="G1" s="4"/>
      <c r="H1" s="4"/>
      <c r="I1" s="16"/>
      <c r="J1" s="16"/>
    </row>
    <row r="3" spans="1:10" x14ac:dyDescent="0.25">
      <c r="A3" s="17" t="s">
        <v>19</v>
      </c>
      <c r="B3" s="2">
        <v>5000</v>
      </c>
      <c r="C3" s="11"/>
      <c r="D3" s="12"/>
      <c r="E3" s="11"/>
      <c r="F3" s="1"/>
      <c r="G3" s="1"/>
      <c r="H3" s="1"/>
      <c r="I3" s="13"/>
      <c r="J3" s="13"/>
    </row>
    <row r="4" spans="1:10" x14ac:dyDescent="0.25">
      <c r="A4" s="17" t="s">
        <v>20</v>
      </c>
      <c r="B4" s="2">
        <v>0.65</v>
      </c>
      <c r="C4" s="11"/>
      <c r="D4" s="12"/>
      <c r="E4" s="11"/>
      <c r="F4" s="1"/>
      <c r="G4" s="1"/>
      <c r="H4" s="1"/>
      <c r="I4" s="13"/>
      <c r="J4" s="13"/>
    </row>
    <row r="5" spans="1:10" x14ac:dyDescent="0.25">
      <c r="A5" s="17" t="s">
        <v>21</v>
      </c>
      <c r="B5" s="2">
        <f>1-B4</f>
      </c>
      <c r="C5" s="11"/>
      <c r="D5" s="12"/>
      <c r="E5" s="11"/>
      <c r="F5" s="1"/>
      <c r="G5" s="1"/>
      <c r="H5" s="1"/>
      <c r="I5" s="13"/>
      <c r="J5" s="13"/>
    </row>
    <row r="7" spans="1:10" s="6" customFormat="1" x14ac:dyDescent="0.25">
      <c r="A7" s="7" t="s">
        <v>1</v>
      </c>
      <c r="B7" s="9" t="s">
        <v>22</v>
      </c>
      <c r="C7" s="18" t="s">
        <v>23</v>
      </c>
      <c r="D7" s="19" t="s">
        <v>24</v>
      </c>
      <c r="E7" s="18" t="s">
        <v>25</v>
      </c>
      <c r="F7" s="8" t="s">
        <v>26</v>
      </c>
      <c r="G7" s="8" t="s">
        <v>27</v>
      </c>
      <c r="H7" s="8" t="s">
        <v>28</v>
      </c>
      <c r="I7" s="20" t="s">
        <v>29</v>
      </c>
      <c r="J7" s="20" t="s">
        <v>30</v>
      </c>
    </row>
    <row r="8" spans="1:10" x14ac:dyDescent="0.25">
      <c r="A8" t="s">
        <v>8</v>
      </c>
      <c r="B8" s="2">
        <v>0.7</v>
      </c>
      <c r="C8" s="11">
        <f>B8*$B$3</f>
      </c>
      <c r="D8" s="12">
        <v>1.5</v>
      </c>
      <c r="E8" s="11">
        <f>C8*D8</f>
      </c>
      <c r="F8" s="1">
        <f>Pricing!E4</f>
      </c>
      <c r="G8" s="1">
        <f>Pricing!C4</f>
      </c>
      <c r="H8" s="1">
        <f>$B$4*F8+$B$5*G8</f>
      </c>
      <c r="I8" s="13">
        <f>E8*H8</f>
      </c>
      <c r="J8" s="13">
        <f>I8*12</f>
      </c>
    </row>
    <row r="9" spans="1:10" x14ac:dyDescent="0.25">
      <c r="A9" t="s">
        <v>10</v>
      </c>
      <c r="B9" s="2">
        <v>0.2</v>
      </c>
      <c r="C9" s="11">
        <f>B9*$B$3</f>
      </c>
      <c r="D9" s="12">
        <v>5</v>
      </c>
      <c r="E9" s="11">
        <f>C9*D9</f>
      </c>
      <c r="F9" s="1">
        <f>Pricing!E5</f>
      </c>
      <c r="G9" s="1">
        <f>Pricing!C5</f>
      </c>
      <c r="H9" s="1">
        <f>$B$4*F9+$B$5*G9</f>
      </c>
      <c r="I9" s="13">
        <f>E9*H9</f>
      </c>
      <c r="J9" s="13">
        <f>I9*12</f>
      </c>
    </row>
    <row r="10" spans="1:10" x14ac:dyDescent="0.25">
      <c r="A10" t="s">
        <v>12</v>
      </c>
      <c r="B10" s="2">
        <v>0.06</v>
      </c>
      <c r="C10" s="11">
        <f>B10*$B$3</f>
      </c>
      <c r="D10" s="12">
        <v>13</v>
      </c>
      <c r="E10" s="11">
        <f>C10*D10</f>
      </c>
      <c r="F10" s="1">
        <f>Pricing!E6</f>
      </c>
      <c r="G10" s="1">
        <f>Pricing!C6</f>
      </c>
      <c r="H10" s="1">
        <f>$B$4*F10+$B$5*G10</f>
      </c>
      <c r="I10" s="13">
        <f>E10*H10</f>
      </c>
      <c r="J10" s="13">
        <f>I10*12</f>
      </c>
    </row>
    <row r="11" spans="1:10" x14ac:dyDescent="0.25">
      <c r="A11" t="s">
        <v>14</v>
      </c>
      <c r="B11" s="2">
        <v>0.03</v>
      </c>
      <c r="C11" s="11">
        <f>B11*$B$3</f>
      </c>
      <c r="D11" s="12">
        <v>30</v>
      </c>
      <c r="E11" s="11">
        <f>C11*D11</f>
      </c>
      <c r="F11" s="1">
        <f>Pricing!E7</f>
      </c>
      <c r="G11" s="1">
        <f>Pricing!C7</f>
      </c>
      <c r="H11" s="1">
        <f>$B$4*F11+$B$5*G11</f>
      </c>
      <c r="I11" s="13">
        <f>E11*H11</f>
      </c>
      <c r="J11" s="13">
        <f>I11*12</f>
      </c>
    </row>
    <row r="12" spans="1:10" x14ac:dyDescent="0.25">
      <c r="A12" t="s">
        <v>16</v>
      </c>
      <c r="B12" s="2">
        <v>0.01</v>
      </c>
      <c r="C12" s="11">
        <f>B12*$B$3</f>
      </c>
      <c r="D12" s="12">
        <v>75</v>
      </c>
      <c r="E12" s="11">
        <f>C12*D12</f>
      </c>
      <c r="F12" s="1">
        <f>Pricing!E8</f>
      </c>
      <c r="G12" s="1">
        <f>Pricing!C8</f>
      </c>
      <c r="H12" s="1">
        <f>$B$4*F12+$B$5*G12</f>
      </c>
      <c r="I12" s="13">
        <f>E12*H12</f>
      </c>
      <c r="J12" s="13">
        <f>I12*12</f>
      </c>
    </row>
    <row r="13" spans="1:10" s="17" customFormat="1" x14ac:dyDescent="0.25">
      <c r="A13" s="21" t="s">
        <v>31</v>
      </c>
      <c r="B13" s="22">
        <f>SUM(B8:B12)</f>
      </c>
      <c r="C13" s="23">
        <f>SUM(C8:C12)</f>
      </c>
      <c r="D13" s="24" t="s">
        <v>32</v>
      </c>
      <c r="E13" s="23">
        <f>SUM(E8:E12)</f>
      </c>
      <c r="F13" s="25" t="s">
        <v>32</v>
      </c>
      <c r="G13" s="25" t="s">
        <v>32</v>
      </c>
      <c r="H13" s="25" t="s">
        <v>32</v>
      </c>
      <c r="I13" s="26">
        <f>SUM(I8:I12)</f>
      </c>
      <c r="J13" s="26">
        <f>SUM(J8:J12)</f>
      </c>
    </row>
    <row r="15" spans="1:10" x14ac:dyDescent="0.25">
      <c r="A15" s="17" t="s">
        <v>33</v>
      </c>
      <c r="B15" s="2" t="s">
        <v>32</v>
      </c>
      <c r="C15" s="11" t="s">
        <v>32</v>
      </c>
      <c r="D15" s="12" t="s">
        <v>32</v>
      </c>
      <c r="E15" s="11" t="s">
        <v>32</v>
      </c>
      <c r="F15" s="1" t="s">
        <v>32</v>
      </c>
      <c r="G15" s="1" t="s">
        <v>32</v>
      </c>
      <c r="H15" s="1" t="s">
        <v>32</v>
      </c>
      <c r="I15" s="13" t="s">
        <v>32</v>
      </c>
      <c r="J15" s="27">
        <f>J13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6" customWidth="1"/>
  </cols>
  <sheetData>
    <row r="1" spans="1:1" s="3" customFormat="1" x14ac:dyDescent="0.25">
      <c r="A1" s="3" t="s">
        <v>34</v>
      </c>
    </row>
    <row r="3" spans="1:2" x14ac:dyDescent="0.25">
      <c r="A3" t="s">
        <v>35</v>
      </c>
      <c r="B3" s="1">
        <f>'Revenue Model'!I13/'Revenue Model'!E13</f>
      </c>
    </row>
    <row r="4" spans="1:2" x14ac:dyDescent="0.25">
      <c r="A4" t="s">
        <v>36</v>
      </c>
      <c r="B4" s="1">
        <v>3</v>
      </c>
    </row>
    <row r="5" spans="1:2" x14ac:dyDescent="0.25">
      <c r="A5" t="s">
        <v>37</v>
      </c>
      <c r="B5" s="2">
        <v>0.035</v>
      </c>
    </row>
    <row r="6" spans="1:2" s="17" customFormat="1" x14ac:dyDescent="0.25">
      <c r="A6" s="17" t="s">
        <v>38</v>
      </c>
      <c r="B6" s="28">
        <f>B3-B4-B3*B5</f>
      </c>
    </row>
    <row r="7" spans="1:2" x14ac:dyDescent="0.25">
      <c r="A7" t="s">
        <v>39</v>
      </c>
      <c r="B7" s="2">
        <f>B6/B3</f>
      </c>
    </row>
    <row r="9" spans="1:2" s="17" customFormat="1" x14ac:dyDescent="0.25">
      <c r="A9" s="17" t="s">
        <v>40</v>
      </c>
      <c r="B9" s="17" t="s">
        <v>32</v>
      </c>
    </row>
    <row r="10" spans="1:2" x14ac:dyDescent="0.25">
      <c r="A10" t="s">
        <v>41</v>
      </c>
      <c r="B10" s="12">
        <f>'Revenue Model'!E13/'Revenue Model'!C13</f>
      </c>
    </row>
    <row r="11" spans="1:2" x14ac:dyDescent="0.25">
      <c r="A11" t="s">
        <v>42</v>
      </c>
      <c r="B11" s="13">
        <f>'Revenue Model'!I13/'Revenue Model'!C13</f>
      </c>
    </row>
    <row r="12" spans="1:2" x14ac:dyDescent="0.25">
      <c r="A12" t="s">
        <v>43</v>
      </c>
      <c r="B12" s="13">
        <f>B6*B10</f>
      </c>
    </row>
    <row r="14" spans="1:2" s="17" customFormat="1" x14ac:dyDescent="0.25">
      <c r="A14" s="17" t="s">
        <v>44</v>
      </c>
      <c r="B14" s="17" t="s">
        <v>32</v>
      </c>
    </row>
    <row r="15" spans="1:2" x14ac:dyDescent="0.25">
      <c r="A15" t="s">
        <v>45</v>
      </c>
      <c r="B15" s="13">
        <v>150</v>
      </c>
    </row>
    <row r="16" spans="1:2" x14ac:dyDescent="0.25">
      <c r="A16" t="s">
        <v>46</v>
      </c>
      <c r="B16" s="2">
        <v>0.03</v>
      </c>
    </row>
    <row r="17" spans="1:2" x14ac:dyDescent="0.25">
      <c r="A17" t="s">
        <v>47</v>
      </c>
      <c r="B17" s="12">
        <f>1/B16</f>
      </c>
    </row>
    <row r="18" spans="1:2" s="17" customFormat="1" x14ac:dyDescent="0.25">
      <c r="A18" s="17" t="s">
        <v>48</v>
      </c>
      <c r="B18" s="29">
        <f>B12*B17</f>
      </c>
    </row>
    <row r="19" spans="1:2" s="17" customFormat="1" x14ac:dyDescent="0.25">
      <c r="A19" s="30" t="s">
        <v>49</v>
      </c>
      <c r="B19" s="31">
        <f>B18/B15</f>
      </c>
    </row>
    <row r="20" spans="1:2" x14ac:dyDescent="0.25">
      <c r="A20" t="s">
        <v>50</v>
      </c>
      <c r="B20" s="12">
        <f>B15/B12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0" customWidth="1"/>
    <col min="2" max="2" width="14" style="11" customWidth="1"/>
    <col min="3" max="3" width="14" style="2" customWidth="1"/>
    <col min="4" max="4" width="16" style="13" customWidth="1"/>
    <col min="5" max="5" width="46" style="32" customWidth="1"/>
  </cols>
  <sheetData>
    <row r="1" spans="1:5" s="3" customFormat="1" x14ac:dyDescent="0.25">
      <c r="A1" s="3" t="s">
        <v>51</v>
      </c>
      <c r="B1" s="14"/>
      <c r="C1" s="5"/>
      <c r="D1" s="16"/>
      <c r="E1" s="33"/>
    </row>
    <row r="3" spans="1:5" s="6" customFormat="1" x14ac:dyDescent="0.25">
      <c r="A3" s="7" t="s">
        <v>52</v>
      </c>
      <c r="B3" s="18" t="s">
        <v>53</v>
      </c>
      <c r="C3" s="9" t="s">
        <v>54</v>
      </c>
      <c r="D3" s="20" t="s">
        <v>55</v>
      </c>
      <c r="E3" s="34" t="s">
        <v>56</v>
      </c>
    </row>
    <row r="4" spans="1:5" x14ac:dyDescent="0.25">
      <c r="A4" t="s">
        <v>57</v>
      </c>
      <c r="B4" s="11">
        <v>500</v>
      </c>
      <c r="C4" s="2">
        <f>B4/5000</f>
      </c>
      <c r="D4" s="13">
        <f>B4*('Revenue Model'!J13/'Revenue Model'!C13)</f>
      </c>
      <c r="E4" s="32" t="s">
        <v>58</v>
      </c>
    </row>
    <row r="5" spans="1:5" x14ac:dyDescent="0.25">
      <c r="A5" t="s">
        <v>59</v>
      </c>
      <c r="B5" s="11">
        <v>2000</v>
      </c>
      <c r="C5" s="2">
        <f>B5/5000</f>
      </c>
      <c r="D5" s="13">
        <f>B5*('Revenue Model'!J13/'Revenue Model'!C13)</f>
      </c>
      <c r="E5" s="32" t="s">
        <v>60</v>
      </c>
    </row>
    <row r="6" spans="1:5" x14ac:dyDescent="0.25">
      <c r="A6" t="s">
        <v>61</v>
      </c>
      <c r="B6" s="11">
        <v>5000</v>
      </c>
      <c r="C6" s="2">
        <f>B6/5000</f>
      </c>
      <c r="D6" s="13">
        <f>B6*('Revenue Model'!J13/'Revenue Model'!C13)</f>
      </c>
      <c r="E6" s="32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34" customWidth="1"/>
    <col min="2" max="2" width="64" style="32" customWidth="1"/>
  </cols>
  <sheetData>
    <row r="1" spans="1:2" s="35" customFormat="1" x14ac:dyDescent="0.25">
      <c r="A1" s="35" t="s">
        <v>63</v>
      </c>
      <c r="B1" s="36" t="s">
        <v>32</v>
      </c>
    </row>
    <row r="2" spans="1:2" x14ac:dyDescent="0.25">
      <c r="A2" t="s">
        <v>64</v>
      </c>
      <c r="B2" s="32" t="s">
        <v>65</v>
      </c>
    </row>
    <row r="3" spans="1:2" x14ac:dyDescent="0.25">
      <c r="A3" t="s">
        <v>32</v>
      </c>
      <c r="B3" s="32" t="s">
        <v>32</v>
      </c>
    </row>
    <row r="4" spans="1:2" s="35" customFormat="1" x14ac:dyDescent="0.25">
      <c r="A4" s="35" t="s">
        <v>66</v>
      </c>
      <c r="B4" s="36" t="s">
        <v>32</v>
      </c>
    </row>
    <row r="5" spans="1:2" x14ac:dyDescent="0.25">
      <c r="A5" t="s">
        <v>7</v>
      </c>
      <c r="B5" s="32" t="s">
        <v>67</v>
      </c>
    </row>
    <row r="6" spans="1:2" x14ac:dyDescent="0.25">
      <c r="A6" t="s">
        <v>68</v>
      </c>
      <c r="B6" s="32" t="s">
        <v>69</v>
      </c>
    </row>
    <row r="7" spans="1:2" x14ac:dyDescent="0.25">
      <c r="A7" t="s">
        <v>32</v>
      </c>
      <c r="B7" s="32" t="s">
        <v>32</v>
      </c>
    </row>
    <row r="8" spans="1:2" s="35" customFormat="1" x14ac:dyDescent="0.25">
      <c r="A8" s="35" t="s">
        <v>70</v>
      </c>
      <c r="B8" s="36" t="s">
        <v>32</v>
      </c>
    </row>
    <row r="9" spans="1:2" x14ac:dyDescent="0.25">
      <c r="A9" t="s">
        <v>71</v>
      </c>
      <c r="B9" s="32" t="s">
        <v>72</v>
      </c>
    </row>
    <row r="10" spans="1:2" x14ac:dyDescent="0.25">
      <c r="A10" t="s">
        <v>73</v>
      </c>
      <c r="B10" s="32" t="s">
        <v>74</v>
      </c>
    </row>
    <row r="11" spans="1:2" x14ac:dyDescent="0.25">
      <c r="A11" t="s">
        <v>75</v>
      </c>
      <c r="B11" s="32" t="s">
        <v>76</v>
      </c>
    </row>
    <row r="12" spans="1:2" x14ac:dyDescent="0.25">
      <c r="A12" t="s">
        <v>32</v>
      </c>
      <c r="B12" s="32" t="s">
        <v>32</v>
      </c>
    </row>
    <row r="13" spans="1:2" s="35" customFormat="1" x14ac:dyDescent="0.25">
      <c r="A13" s="35" t="s">
        <v>77</v>
      </c>
      <c r="B13" s="36" t="s">
        <v>32</v>
      </c>
    </row>
    <row r="14" spans="1:2" x14ac:dyDescent="0.25">
      <c r="A14" t="s">
        <v>78</v>
      </c>
      <c r="B14" s="32" t="s">
        <v>79</v>
      </c>
    </row>
    <row r="15" spans="1:2" x14ac:dyDescent="0.25">
      <c r="A15" t="s">
        <v>80</v>
      </c>
      <c r="B15" s="32" t="s">
        <v>81</v>
      </c>
    </row>
    <row r="16" spans="1:2" x14ac:dyDescent="0.25">
      <c r="A16" t="s">
        <v>82</v>
      </c>
      <c r="B16" s="32" t="s">
        <v>83</v>
      </c>
    </row>
    <row r="17" spans="1:2" x14ac:dyDescent="0.25">
      <c r="A17" t="s">
        <v>32</v>
      </c>
      <c r="B17" s="32" t="s">
        <v>32</v>
      </c>
    </row>
    <row r="18" spans="1:2" s="35" customFormat="1" x14ac:dyDescent="0.25">
      <c r="A18" s="35" t="s">
        <v>84</v>
      </c>
      <c r="B18" s="36" t="s">
        <v>32</v>
      </c>
    </row>
    <row r="19" spans="1:2" x14ac:dyDescent="0.25">
      <c r="A19" t="s">
        <v>85</v>
      </c>
      <c r="B19" s="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Pricing</vt:lpstr>
      <vt:lpstr>Revenue Model</vt:lpstr>
      <vt:lpstr>Unit Economics</vt:lpstr>
      <vt:lpstr>Rollout Ramp</vt:lpstr>
      <vt:lpstr>Assumptions &amp;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Orion</dc:creator>
  <dc:title/>
  <dc:subject/>
  <dc:description/>
  <cp:keywords/>
  <cp:category/>
  <cp:lastModifiedBy>Unknown</cp:lastModifiedBy>
  <dcterms:created xsi:type="dcterms:W3CDTF">2026-07-11T22:08:56Z</dcterms:created>
  <dcterms:modified xsi:type="dcterms:W3CDTF">2026-07-11T22:08:56Z</dcterms:modified>
</cp:coreProperties>
</file>