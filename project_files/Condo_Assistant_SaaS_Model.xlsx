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ing" state="visible" r:id="rId4"/>
    <sheet sheetId="2" name="Revenue Model" state="visible" r:id="rId5"/>
    <sheet sheetId="3" name="Unit Economics" state="visible" r:id="rId6"/>
    <sheet sheetId="4" name="Rollout Ramp" state="visible" r:id="rId7"/>
    <sheet sheetId="5" name="Assumptions &amp; Notes" state="visible" r:id="rId8"/>
    <sheet sheetId="6" name="COGS Breakdown" state="visible" r:id="rId9"/>
  </sheets>
  <calcPr calcId="171027"/>
</workbook>
</file>

<file path=xl/sharedStrings.xml><?xml version="1.0" encoding="utf-8"?>
<sst xmlns="http://schemas.openxmlformats.org/spreadsheetml/2006/main" count="138" uniqueCount="107">
  <si>
    <t>CONDO ASSISTANT — PRICING (per unit / month)</t>
  </si>
  <si>
    <t>Band</t>
  </si>
  <si>
    <t>Units</t>
  </si>
  <si>
    <t>Condo Assistant</t>
  </si>
  <si>
    <t>Auto Email</t>
  </si>
  <si>
    <t>Bundle (Both)</t>
  </si>
  <si>
    <t>Bundle Disc.</t>
  </si>
  <si>
    <t>Base</t>
  </si>
  <si>
    <t>1–2 units</t>
  </si>
  <si>
    <t>Tier 1</t>
  </si>
  <si>
    <t>3–9 units</t>
  </si>
  <si>
    <t>Tier 2</t>
  </si>
  <si>
    <t>10+ units</t>
  </si>
  <si>
    <t>MONTHLY CAP: $500 per client (up to 100 units). 100+ units = custom quote.</t>
  </si>
  <si>
    <t>The cap smooths the curve: a client's bill rises with units, then plateaus at $500 — it never drops as they add units. Big clients get a deep effective discount (75 units ≈ $6.67/unit).</t>
  </si>
  <si>
    <t>REVENUE MODEL — at full penetration</t>
  </si>
  <si>
    <t>Bundle Adoption %</t>
  </si>
  <si>
    <t>Single-Product %</t>
  </si>
  <si>
    <t>Monthly Cap / Client ($)</t>
  </si>
  <si>
    <t># Clients</t>
  </si>
  <si>
    <t>Avg Units</t>
  </si>
  <si>
    <t>Total Units</t>
  </si>
  <si>
    <t>Bundle $/u</t>
  </si>
  <si>
    <t>Single $/u</t>
  </si>
  <si>
    <t>Blended $/u</t>
  </si>
  <si>
    <t>Bill/Client</t>
  </si>
  <si>
    <t>Monthly Rev</t>
  </si>
  <si>
    <t>Annual Rev</t>
  </si>
  <si>
    <t>10–19 units</t>
  </si>
  <si>
    <t>20–49 units</t>
  </si>
  <si>
    <t>50–100 units</t>
  </si>
  <si>
    <t>TOTAL</t>
  </si>
  <si>
    <t/>
  </si>
  <si>
    <t>ARR at full penetration →</t>
  </si>
  <si>
    <t>UNIT ECONOMICS (at full scale)</t>
  </si>
  <si>
    <t>Avg Revenue / Unit / Month</t>
  </si>
  <si>
    <t>COGS / Unit / Month (from COGS Breakdown)</t>
  </si>
  <si>
    <t>Stripe Fee (% of revenue)</t>
  </si>
  <si>
    <t>Gross Profit / Unit / Month</t>
  </si>
  <si>
    <t>Gross Margin %</t>
  </si>
  <si>
    <t>PER CLIENT</t>
  </si>
  <si>
    <t>Avg Units / Client</t>
  </si>
  <si>
    <t>Avg Revenue / Client / Month</t>
  </si>
  <si>
    <t>Gross Profit / Client / Month</t>
  </si>
  <si>
    <t>CAC / LTV</t>
  </si>
  <si>
    <t>CAC</t>
  </si>
  <si>
    <t>Monthly Churn %</t>
  </si>
  <si>
    <t>Avg Customer Lifetime (months)</t>
  </si>
  <si>
    <t>LTV (gross profit)</t>
  </si>
  <si>
    <t>LTV : CAC</t>
  </si>
  <si>
    <t>CAC Payback (months)</t>
  </si>
  <si>
    <t>ROLLOUT RAMP</t>
  </si>
  <si>
    <t>Year</t>
  </si>
  <si>
    <t>Clients</t>
  </si>
  <si>
    <t>% Target</t>
  </si>
  <si>
    <t>Est. ARR</t>
  </si>
  <si>
    <t>Phase / Focus</t>
  </si>
  <si>
    <t>Year 1</t>
  </si>
  <si>
    <t>Pilot — small owners via WPM referrals + CO STR groups (near-zero CAC)</t>
  </si>
  <si>
    <t>Year 2</t>
  </si>
  <si>
    <t>Land large PM companies (Option C) — they refer &amp; credential the small owners</t>
  </si>
  <si>
    <t>Year 3</t>
  </si>
  <si>
    <t>Full penetration — paid acquisition + referral flywheel (Option B)</t>
  </si>
  <si>
    <t>PRICING</t>
  </si>
  <si>
    <t>Products</t>
  </si>
  <si>
    <t>Condo Assistant $15/unit · Auto Email $15/unit · Bundle (both) $25/unit (base)</t>
  </si>
  <si>
    <t>Volume tiers (bundle)</t>
  </si>
  <si>
    <t>1–2 units $25 · 3–9 $22 · 10+ $20 per unit</t>
  </si>
  <si>
    <t>Monthly cap</t>
  </si>
  <si>
    <t>$500/client up to 100 units. This smooths the cliff — the bill plateaus at $500, never drops. 100+ = custom.</t>
  </si>
  <si>
    <t>Effective enterprise discount</t>
  </si>
  <si>
    <t>A 75-unit client at the $500 cap pays ≈$6.67/unit (73% off) — deep discount to land large managers.</t>
  </si>
  <si>
    <t>STRATEGY</t>
  </si>
  <si>
    <t>Priority</t>
  </si>
  <si>
    <t>Under-5-unit owners — most profitable per unit, biggest segment (4,000 of 5,050 clients).</t>
  </si>
  <si>
    <t>Large managers = channel</t>
  </si>
  <si>
    <t>Big PM companies (20–100 units) are priced aggressively (capped) because their adoption + referrals make the small, profitable owners easier &amp; cheaper to land.</t>
  </si>
  <si>
    <t>CLIENT DISTRIBUTION (your numbers)</t>
  </si>
  <si>
    <t>4,000 clients</t>
  </si>
  <si>
    <t>500 · 10–19: 300 · 20–49: 200 · 50–100: 50 (seeded "rest") = 5,050 total</t>
  </si>
  <si>
    <t>Avg units/client</t>
  </si>
  <si>
    <t>Illustrative (1.5 / 5 / 13 / 30 / 75) — refine with real data</t>
  </si>
  <si>
    <t>UNIT ECONOMICS</t>
  </si>
  <si>
    <t>COGS/unit/mo</t>
  </si>
  <si>
    <t>$3 placeholder (Claude API + hosting + Resend)</t>
  </si>
  <si>
    <t>Stripe / CAC / churn</t>
  </si>
  <si>
    <t>~3.5% / $150 / 3% monthly — illustrative</t>
  </si>
  <si>
    <t>All numbers illustrative</t>
  </si>
  <si>
    <t>Planning model for Alex — this is a first-pass guess. Replace estimates with real data as it comes in.</t>
  </si>
  <si>
    <t>COGS BREAKDOWN (per unit / month)</t>
  </si>
  <si>
    <t>Cost Component</t>
  </si>
  <si>
    <t>$ / Unit / Mo</t>
  </si>
  <si>
    <t>Basis</t>
  </si>
  <si>
    <t>Guest chat AI (Claude Haiku 4.5)</t>
  </si>
  <si>
    <t>~90 questions/mo (6 res × 15 Q), ~4.2K tokens each @ $1/$5 per M</t>
  </si>
  <si>
    <t>Auto Email AI (Claude Haiku 4.5)</t>
  </si>
  <si>
    <t>~100 AI replies/mo (200-email thread), ~5.35K tokens each</t>
  </si>
  <si>
    <t>Hosting (Vercel + Supabase, amortized)</t>
  </si>
  <si>
    <t>App hosting + Postgres/pgvector, spread per unit</t>
  </si>
  <si>
    <t>Email delivery (Resend)</t>
  </si>
  <si>
    <t>Transactional + auto-reply sends</t>
  </si>
  <si>
    <t>Embeddings (OpenAI, RAG)</t>
  </si>
  <si>
    <t>Query embeddings per message (near-zero)</t>
  </si>
  <si>
    <t>Buffer / overage</t>
  </si>
  <si>
    <t>Headroom for spikes, Sonnet upgrade, growth</t>
  </si>
  <si>
    <t>TOTAL COGS / Unit / Month</t>
  </si>
  <si>
    <t>Model: Claude Haiku 4.5 ($1/M in · $5/M out). Sonnet 5 upgrade ≈ 3× the AI lines. Estimates — calibrate with real prompt sizes via count_tokens.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</si>
</sst>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.00"/>
    <numFmt numFmtId="165" formatCode="#,##0.0"/>
    <numFmt numFmtId="166" formatCode="$#,##0"/>
    <numFmt numFmtId="167" formatCode="0.0&quot;x&quot;"/>
  </numFmts>
  <fonts count="7" x14ac:knownFonts="1">
    <font>
      <color theme="1"/>
      <family val="2"/>
      <scheme val="minor"/>
      <sz val="11"/>
      <name val="Calibri"/>
    </font>
    <font>
      <b/>
      <sz val="13"/>
    </font>
    <font>
      <b/>
      <color rgb="FFFFFFFF"/>
    </font>
    <font>
      <b/>
      <color rgb="FF1F3864"/>
    </font>
    <font>
      <color rgb="FF777777"/>
    </font>
    <font>
      <b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164" fontId="0" fillId="0" borderId="0" xfId="0" applyNumberFormat="1"/>
    <xf numFmtId="9" fontId="0" fillId="0" borderId="0" xfId="0" applyNumberFormat="1"/>
    <xf numFmtId="0" fontId="1" fillId="0" borderId="0" xfId="0" applyFont="1"/>
    <xf numFmtId="164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0" fontId="2" fillId="2" borderId="0" xfId="0" applyFont="1" applyFill="1"/>
    <xf numFmtId="164" fontId="2" fillId="2" borderId="0" xfId="0" applyNumberFormat="1" applyFont="1" applyFill="1"/>
    <xf numFmtId="9" fontId="2" fillId="2" borderId="0" xfId="0" applyNumberFormat="1" applyFont="1" applyFill="1"/>
    <xf numFmtId="0" fontId="3" fillId="0" borderId="0" xfId="0" applyFont="1"/>
    <xf numFmtId="0" fontId="4" fillId="0" borderId="0" xfId="0" applyFon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3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5" fillId="0" borderId="0" xfId="0" applyFont="1"/>
    <xf numFmtId="3" fontId="2" fillId="2" borderId="0" xfId="0" applyNumberFormat="1" applyFont="1" applyFill="1"/>
    <xf numFmtId="165" fontId="2" fillId="2" borderId="0" xfId="0" applyNumberFormat="1" applyFont="1" applyFill="1"/>
    <xf numFmtId="166" fontId="2" fillId="2" borderId="0" xfId="0" applyNumberFormat="1" applyFont="1" applyFill="1"/>
    <xf numFmtId="0" fontId="5" fillId="3" borderId="0" xfId="0" applyFont="1" applyFill="1"/>
    <xf numFmtId="3" fontId="5" fillId="3" borderId="0" xfId="0" applyNumberFormat="1" applyFont="1" applyFill="1"/>
    <xf numFmtId="165" fontId="5" fillId="3" borderId="0" xfId="0" applyNumberFormat="1" applyFont="1" applyFill="1"/>
    <xf numFmtId="164" fontId="5" fillId="3" borderId="0" xfId="0" applyNumberFormat="1" applyFont="1" applyFill="1"/>
    <xf numFmtId="166" fontId="5" fillId="3" borderId="0" xfId="0" applyNumberFormat="1" applyFont="1" applyFill="1"/>
    <xf numFmtId="166" fontId="6" fillId="0" borderId="0" xfId="0" applyNumberFormat="1" applyFont="1"/>
    <xf numFmtId="164" fontId="5" fillId="0" borderId="0" xfId="0" applyNumberFormat="1" applyFont="1"/>
    <xf numFmtId="166" fontId="5" fillId="0" borderId="0" xfId="0" applyNumberFormat="1" applyFont="1"/>
    <xf numFmtId="0" fontId="5" fillId="4" borderId="0" xfId="0" applyFont="1" applyFill="1"/>
    <xf numFmtId="167" fontId="5" fillId="4" borderId="0" xfId="0" applyNumberFormat="1" applyFont="1" applyFill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6" fillId="0" borderId="0" xfId="0" applyFont="1"/>
    <xf numFmtId="0" fontId="6" fillId="0" borderId="0" xfId="0" applyFont="1" applyAlignment="1">
      <alignment vertical="top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2" width="12" customWidth="1"/>
    <col min="3" max="3" width="18" style="1" customWidth="1"/>
    <col min="4" max="4" width="16" style="1" customWidth="1"/>
    <col min="5" max="5" width="18" style="1" customWidth="1"/>
    <col min="6" max="6" width="16" style="2" customWidth="1"/>
  </cols>
  <sheetData>
    <row r="1" spans="1:6" s="3" customFormat="1" x14ac:dyDescent="0.25">
      <c r="A1" s="3" t="s">
        <v>0</v>
      </c>
      <c r="C1" s="4"/>
      <c r="D1" s="4"/>
      <c r="E1" s="4"/>
      <c r="F1" s="5"/>
    </row>
    <row r="3" spans="1:6" s="6" customFormat="1" x14ac:dyDescent="0.25">
      <c r="A3" s="7" t="s">
        <v>1</v>
      </c>
      <c r="B3" s="7" t="s">
        <v>2</v>
      </c>
      <c r="C3" s="8" t="s">
        <v>3</v>
      </c>
      <c r="D3" s="8" t="s">
        <v>4</v>
      </c>
      <c r="E3" s="8" t="s">
        <v>5</v>
      </c>
      <c r="F3" s="9" t="s">
        <v>6</v>
      </c>
    </row>
    <row r="4" spans="1:6" x14ac:dyDescent="0.25">
      <c r="A4" t="s">
        <v>7</v>
      </c>
      <c r="B4" t="s">
        <v>8</v>
      </c>
      <c r="C4" s="1">
        <v>15</v>
      </c>
      <c r="D4" s="1">
        <v>15</v>
      </c>
      <c r="E4" s="1">
        <v>25</v>
      </c>
      <c r="F4" s="2">
        <f>1-E4/$E$4</f>
      </c>
    </row>
    <row r="5" spans="1:6" x14ac:dyDescent="0.25">
      <c r="A5" t="s">
        <v>9</v>
      </c>
      <c r="B5" t="s">
        <v>10</v>
      </c>
      <c r="C5" s="1">
        <v>13.25</v>
      </c>
      <c r="D5" s="1">
        <v>13.25</v>
      </c>
      <c r="E5" s="1">
        <v>22</v>
      </c>
      <c r="F5" s="2">
        <f>1-E5/$E$4</f>
      </c>
    </row>
    <row r="6" spans="1:6" x14ac:dyDescent="0.25">
      <c r="A6" t="s">
        <v>11</v>
      </c>
      <c r="B6" t="s">
        <v>12</v>
      </c>
      <c r="C6" s="1">
        <v>12</v>
      </c>
      <c r="D6" s="1">
        <v>12</v>
      </c>
      <c r="E6" s="1">
        <v>20</v>
      </c>
      <c r="F6" s="2">
        <f>1-E6/$E$4</f>
      </c>
    </row>
    <row r="8" spans="1:1" s="10" customFormat="1" x14ac:dyDescent="0.25">
      <c r="A8" s="10" t="s">
        <v>13</v>
      </c>
    </row>
    <row r="9" spans="1:1" s="11" customFormat="1" x14ac:dyDescent="0.25">
      <c r="A9" s="1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FormatPr defaultRowHeight="15" outlineLevelRow="0" outlineLevelCol="0" x14ac:dyDescent="55"/>
  <cols>
    <col min="1" max="1" width="15" customWidth="1"/>
    <col min="2" max="2" width="11" style="12" customWidth="1"/>
    <col min="3" max="3" width="11" style="13" customWidth="1"/>
    <col min="4" max="4" width="12" style="12" customWidth="1"/>
    <col min="5" max="6" width="11" style="1" customWidth="1"/>
    <col min="7" max="7" width="12" style="1" customWidth="1"/>
    <col min="8" max="8" width="13" style="14" customWidth="1"/>
    <col min="9" max="10" width="15" style="14" customWidth="1"/>
  </cols>
  <sheetData>
    <row r="1" spans="1:10" s="3" customFormat="1" x14ac:dyDescent="0.25">
      <c r="A1" s="3" t="s">
        <v>15</v>
      </c>
      <c r="B1" s="15"/>
      <c r="C1" s="16"/>
      <c r="D1" s="15"/>
      <c r="E1" s="4"/>
      <c r="F1" s="4"/>
      <c r="G1" s="4"/>
      <c r="H1" s="17"/>
      <c r="I1" s="17"/>
      <c r="J1" s="17"/>
    </row>
    <row r="3" spans="1:10" x14ac:dyDescent="0.25">
      <c r="A3" s="18" t="s">
        <v>16</v>
      </c>
      <c r="B3" s="12">
        <v>0.65</v>
      </c>
      <c r="C3" s="13"/>
      <c r="D3" s="12"/>
      <c r="E3" s="1"/>
      <c r="F3" s="1"/>
      <c r="G3" s="1"/>
      <c r="H3" s="14"/>
      <c r="I3" s="14"/>
      <c r="J3" s="14"/>
    </row>
    <row r="4" spans="1:10" x14ac:dyDescent="0.25">
      <c r="A4" s="18" t="s">
        <v>17</v>
      </c>
      <c r="B4" s="12">
        <f>1-B3</f>
      </c>
      <c r="C4" s="13"/>
      <c r="D4" s="12"/>
      <c r="E4" s="1"/>
      <c r="F4" s="1"/>
      <c r="G4" s="1"/>
      <c r="H4" s="14"/>
      <c r="I4" s="14"/>
      <c r="J4" s="14"/>
    </row>
    <row r="5" spans="1:10" x14ac:dyDescent="0.25">
      <c r="A5" s="18" t="s">
        <v>18</v>
      </c>
      <c r="B5" s="12">
        <v>500</v>
      </c>
      <c r="C5" s="13"/>
      <c r="D5" s="12"/>
      <c r="E5" s="1"/>
      <c r="F5" s="1"/>
      <c r="G5" s="1"/>
      <c r="H5" s="14"/>
      <c r="I5" s="14"/>
      <c r="J5" s="14"/>
    </row>
    <row r="7" spans="1:10" s="6" customFormat="1" x14ac:dyDescent="0.25">
      <c r="A7" s="7" t="s">
        <v>1</v>
      </c>
      <c r="B7" s="19" t="s">
        <v>19</v>
      </c>
      <c r="C7" s="20" t="s">
        <v>20</v>
      </c>
      <c r="D7" s="19" t="s">
        <v>21</v>
      </c>
      <c r="E7" s="8" t="s">
        <v>22</v>
      </c>
      <c r="F7" s="8" t="s">
        <v>23</v>
      </c>
      <c r="G7" s="8" t="s">
        <v>24</v>
      </c>
      <c r="H7" s="21" t="s">
        <v>25</v>
      </c>
      <c r="I7" s="21" t="s">
        <v>26</v>
      </c>
      <c r="J7" s="21" t="s">
        <v>27</v>
      </c>
    </row>
    <row r="8" spans="1:10" x14ac:dyDescent="0.25">
      <c r="A8" t="s">
        <v>8</v>
      </c>
      <c r="B8" s="12">
        <v>4000</v>
      </c>
      <c r="C8" s="13">
        <v>1.5</v>
      </c>
      <c r="D8" s="12">
        <f>B8*C8</f>
      </c>
      <c r="E8" s="1">
        <f>Pricing!E4</f>
      </c>
      <c r="F8" s="1">
        <f>Pricing!C4</f>
      </c>
      <c r="G8" s="1">
        <f>$B$3*E8+$B$4*F8</f>
      </c>
      <c r="H8" s="14">
        <f>MIN(C8*G8,$B$5)</f>
      </c>
      <c r="I8" s="14">
        <f>B8*H8</f>
      </c>
      <c r="J8" s="14">
        <f>I8*12</f>
      </c>
    </row>
    <row r="9" spans="1:10" x14ac:dyDescent="0.25">
      <c r="A9" t="s">
        <v>10</v>
      </c>
      <c r="B9" s="12">
        <v>500</v>
      </c>
      <c r="C9" s="13">
        <v>5</v>
      </c>
      <c r="D9" s="12">
        <f>B9*C9</f>
      </c>
      <c r="E9" s="1">
        <f>Pricing!E5</f>
      </c>
      <c r="F9" s="1">
        <f>Pricing!C5</f>
      </c>
      <c r="G9" s="1">
        <f>$B$3*E9+$B$4*F9</f>
      </c>
      <c r="H9" s="14">
        <f>MIN(C9*G9,$B$5)</f>
      </c>
      <c r="I9" s="14">
        <f>B9*H9</f>
      </c>
      <c r="J9" s="14">
        <f>I9*12</f>
      </c>
    </row>
    <row r="10" spans="1:10" x14ac:dyDescent="0.25">
      <c r="A10" t="s">
        <v>28</v>
      </c>
      <c r="B10" s="12">
        <v>300</v>
      </c>
      <c r="C10" s="13">
        <v>13</v>
      </c>
      <c r="D10" s="12">
        <f>B10*C10</f>
      </c>
      <c r="E10" s="1">
        <f>Pricing!E6</f>
      </c>
      <c r="F10" s="1">
        <f>Pricing!C6</f>
      </c>
      <c r="G10" s="1">
        <f>$B$3*E10+$B$4*F10</f>
      </c>
      <c r="H10" s="14">
        <f>MIN(C10*G10,$B$5)</f>
      </c>
      <c r="I10" s="14">
        <f>B10*H10</f>
      </c>
      <c r="J10" s="14">
        <f>I10*12</f>
      </c>
    </row>
    <row r="11" spans="1:10" x14ac:dyDescent="0.25">
      <c r="A11" t="s">
        <v>29</v>
      </c>
      <c r="B11" s="12">
        <v>200</v>
      </c>
      <c r="C11" s="13">
        <v>30</v>
      </c>
      <c r="D11" s="12">
        <f>B11*C11</f>
      </c>
      <c r="E11" s="1">
        <f>Pricing!E6</f>
      </c>
      <c r="F11" s="1">
        <f>Pricing!C6</f>
      </c>
      <c r="G11" s="1">
        <f>$B$3*E11+$B$4*F11</f>
      </c>
      <c r="H11" s="14">
        <f>MIN(C11*G11,$B$5)</f>
      </c>
      <c r="I11" s="14">
        <f>B11*H11</f>
      </c>
      <c r="J11" s="14">
        <f>I11*12</f>
      </c>
    </row>
    <row r="12" spans="1:10" x14ac:dyDescent="0.25">
      <c r="A12" t="s">
        <v>30</v>
      </c>
      <c r="B12" s="12">
        <v>50</v>
      </c>
      <c r="C12" s="13">
        <v>75</v>
      </c>
      <c r="D12" s="12">
        <f>B12*C12</f>
      </c>
      <c r="E12" s="1">
        <f>Pricing!E6</f>
      </c>
      <c r="F12" s="1">
        <f>Pricing!C6</f>
      </c>
      <c r="G12" s="1">
        <f>$B$3*E12+$B$4*F12</f>
      </c>
      <c r="H12" s="14">
        <f>MIN(C12*G12,$B$5)</f>
      </c>
      <c r="I12" s="14">
        <f>B12*H12</f>
      </c>
      <c r="J12" s="14">
        <f>I12*12</f>
      </c>
    </row>
    <row r="13" spans="1:10" s="18" customFormat="1" x14ac:dyDescent="0.25">
      <c r="A13" s="22" t="s">
        <v>31</v>
      </c>
      <c r="B13" s="23">
        <f>SUM(B8:B12)</f>
      </c>
      <c r="C13" s="24" t="s">
        <v>32</v>
      </c>
      <c r="D13" s="23">
        <f>SUM(D8:D12)</f>
      </c>
      <c r="E13" s="25" t="s">
        <v>32</v>
      </c>
      <c r="F13" s="25" t="s">
        <v>32</v>
      </c>
      <c r="G13" s="25" t="s">
        <v>32</v>
      </c>
      <c r="H13" s="26" t="s">
        <v>32</v>
      </c>
      <c r="I13" s="26">
        <f>SUM(I8:I12)</f>
      </c>
      <c r="J13" s="26">
        <f>SUM(J8:J12)</f>
      </c>
    </row>
    <row r="15" spans="1:10" x14ac:dyDescent="0.25">
      <c r="A15" s="18" t="s">
        <v>33</v>
      </c>
      <c r="B15" s="12" t="s">
        <v>32</v>
      </c>
      <c r="C15" s="13" t="s">
        <v>32</v>
      </c>
      <c r="D15" s="12" t="s">
        <v>32</v>
      </c>
      <c r="E15" s="1" t="s">
        <v>32</v>
      </c>
      <c r="F15" s="1" t="s">
        <v>32</v>
      </c>
      <c r="G15" s="1" t="s">
        <v>32</v>
      </c>
      <c r="H15" s="14" t="s">
        <v>32</v>
      </c>
      <c r="I15" s="14" t="s">
        <v>32</v>
      </c>
      <c r="J15" s="27">
        <f>J13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38" customWidth="1"/>
    <col min="2" max="2" width="16" customWidth="1"/>
  </cols>
  <sheetData>
    <row r="1" spans="1:1" s="3" customFormat="1" x14ac:dyDescent="0.25">
      <c r="A1" s="3" t="s">
        <v>34</v>
      </c>
    </row>
    <row r="3" spans="1:2" x14ac:dyDescent="0.25">
      <c r="A3" t="s">
        <v>35</v>
      </c>
      <c r="B3" s="1">
        <f>'Revenue Model'!I13/'Revenue Model'!D13</f>
      </c>
    </row>
    <row r="4" spans="1:2" x14ac:dyDescent="0.25">
      <c r="A4" t="s">
        <v>36</v>
      </c>
      <c r="B4" s="1">
        <f>'COGS Breakdown'!B10</f>
      </c>
    </row>
    <row r="5" spans="1:2" x14ac:dyDescent="0.25">
      <c r="A5" t="s">
        <v>37</v>
      </c>
      <c r="B5" s="2">
        <v>0.035</v>
      </c>
    </row>
    <row r="6" spans="1:2" s="18" customFormat="1" x14ac:dyDescent="0.25">
      <c r="A6" s="18" t="s">
        <v>38</v>
      </c>
      <c r="B6" s="28">
        <f>B3-B4-B3*B5</f>
      </c>
    </row>
    <row r="7" spans="1:2" x14ac:dyDescent="0.25">
      <c r="A7" t="s">
        <v>39</v>
      </c>
      <c r="B7" s="2">
        <f>B6/B3</f>
      </c>
    </row>
    <row r="9" spans="1:2" s="18" customFormat="1" x14ac:dyDescent="0.25">
      <c r="A9" s="18" t="s">
        <v>40</v>
      </c>
      <c r="B9" s="18" t="s">
        <v>32</v>
      </c>
    </row>
    <row r="10" spans="1:2" x14ac:dyDescent="0.25">
      <c r="A10" t="s">
        <v>41</v>
      </c>
      <c r="B10" s="13">
        <f>'Revenue Model'!D13/'Revenue Model'!B13</f>
      </c>
    </row>
    <row r="11" spans="1:2" x14ac:dyDescent="0.25">
      <c r="A11" t="s">
        <v>42</v>
      </c>
      <c r="B11" s="14">
        <f>'Revenue Model'!I13/'Revenue Model'!B13</f>
      </c>
    </row>
    <row r="12" spans="1:2" x14ac:dyDescent="0.25">
      <c r="A12" t="s">
        <v>43</v>
      </c>
      <c r="B12" s="14">
        <f>B6*B10</f>
      </c>
    </row>
    <row r="14" spans="1:2" s="18" customFormat="1" x14ac:dyDescent="0.25">
      <c r="A14" s="18" t="s">
        <v>44</v>
      </c>
      <c r="B14" s="18" t="s">
        <v>32</v>
      </c>
    </row>
    <row r="15" spans="1:2" x14ac:dyDescent="0.25">
      <c r="A15" t="s">
        <v>45</v>
      </c>
      <c r="B15" s="14">
        <v>150</v>
      </c>
    </row>
    <row r="16" spans="1:2" x14ac:dyDescent="0.25">
      <c r="A16" t="s">
        <v>46</v>
      </c>
      <c r="B16" s="2">
        <v>0.03</v>
      </c>
    </row>
    <row r="17" spans="1:2" x14ac:dyDescent="0.25">
      <c r="A17" t="s">
        <v>47</v>
      </c>
      <c r="B17" s="13">
        <f>1/B16</f>
      </c>
    </row>
    <row r="18" spans="1:2" s="18" customFormat="1" x14ac:dyDescent="0.25">
      <c r="A18" s="18" t="s">
        <v>48</v>
      </c>
      <c r="B18" s="29">
        <f>B12*B17</f>
      </c>
    </row>
    <row r="19" spans="1:2" s="18" customFormat="1" x14ac:dyDescent="0.25">
      <c r="A19" s="30" t="s">
        <v>49</v>
      </c>
      <c r="B19" s="31">
        <f>B18/B15</f>
      </c>
    </row>
    <row r="20" spans="1:2" x14ac:dyDescent="0.25">
      <c r="A20" t="s">
        <v>50</v>
      </c>
      <c r="B20" s="13">
        <f>B15/B12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0" customWidth="1"/>
    <col min="2" max="2" width="12" style="12" customWidth="1"/>
    <col min="3" max="3" width="12" style="2" customWidth="1"/>
    <col min="4" max="4" width="14" style="14" customWidth="1"/>
    <col min="5" max="5" width="50" style="32" customWidth="1"/>
  </cols>
  <sheetData>
    <row r="1" spans="1:5" s="3" customFormat="1" x14ac:dyDescent="0.25">
      <c r="A1" s="3" t="s">
        <v>51</v>
      </c>
      <c r="B1" s="15"/>
      <c r="C1" s="5"/>
      <c r="D1" s="17"/>
      <c r="E1" s="33"/>
    </row>
    <row r="3" spans="1:5" s="6" customFormat="1" x14ac:dyDescent="0.25">
      <c r="A3" s="7" t="s">
        <v>52</v>
      </c>
      <c r="B3" s="19" t="s">
        <v>53</v>
      </c>
      <c r="C3" s="9" t="s">
        <v>54</v>
      </c>
      <c r="D3" s="21" t="s">
        <v>55</v>
      </c>
      <c r="E3" s="34" t="s">
        <v>56</v>
      </c>
    </row>
    <row r="4" spans="1:5" x14ac:dyDescent="0.25">
      <c r="A4" t="s">
        <v>57</v>
      </c>
      <c r="B4" s="12">
        <v>500</v>
      </c>
      <c r="C4" s="2">
        <f>B4/5050</f>
      </c>
      <c r="D4" s="14">
        <f>B4*('Revenue Model'!J13/'Revenue Model'!B13)</f>
      </c>
      <c r="E4" s="32" t="s">
        <v>58</v>
      </c>
    </row>
    <row r="5" spans="1:5" x14ac:dyDescent="0.25">
      <c r="A5" t="s">
        <v>59</v>
      </c>
      <c r="B5" s="12">
        <v>2000</v>
      </c>
      <c r="C5" s="2">
        <f>B5/5050</f>
      </c>
      <c r="D5" s="14">
        <f>B5*('Revenue Model'!J13/'Revenue Model'!B13)</f>
      </c>
      <c r="E5" s="32" t="s">
        <v>60</v>
      </c>
    </row>
    <row r="6" spans="1:5" x14ac:dyDescent="0.25">
      <c r="A6" t="s">
        <v>61</v>
      </c>
      <c r="B6" s="12">
        <v>5050</v>
      </c>
      <c r="C6" s="2">
        <f>B6/5050</f>
      </c>
      <c r="D6" s="14">
        <f>B6*('Revenue Model'!J13/'Revenue Model'!B13)</f>
      </c>
      <c r="E6" s="32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34" customWidth="1"/>
    <col min="2" max="2" width="64" style="32" customWidth="1"/>
  </cols>
  <sheetData>
    <row r="1" spans="1:2" s="35" customFormat="1" x14ac:dyDescent="0.25">
      <c r="A1" s="35" t="s">
        <v>63</v>
      </c>
      <c r="B1" s="36" t="s">
        <v>32</v>
      </c>
    </row>
    <row r="2" spans="1:2" x14ac:dyDescent="0.25">
      <c r="A2" t="s">
        <v>64</v>
      </c>
      <c r="B2" s="32" t="s">
        <v>65</v>
      </c>
    </row>
    <row r="3" spans="1:2" x14ac:dyDescent="0.25">
      <c r="A3" t="s">
        <v>66</v>
      </c>
      <c r="B3" s="32" t="s">
        <v>67</v>
      </c>
    </row>
    <row r="4" spans="1:2" x14ac:dyDescent="0.25">
      <c r="A4" t="s">
        <v>68</v>
      </c>
      <c r="B4" s="32" t="s">
        <v>69</v>
      </c>
    </row>
    <row r="5" spans="1:2" x14ac:dyDescent="0.25">
      <c r="A5" t="s">
        <v>70</v>
      </c>
      <c r="B5" s="32" t="s">
        <v>71</v>
      </c>
    </row>
    <row r="6" spans="1:2" x14ac:dyDescent="0.25">
      <c r="A6" t="s">
        <v>32</v>
      </c>
      <c r="B6" s="32" t="s">
        <v>32</v>
      </c>
    </row>
    <row r="7" spans="1:2" s="35" customFormat="1" x14ac:dyDescent="0.25">
      <c r="A7" s="35" t="s">
        <v>72</v>
      </c>
      <c r="B7" s="36" t="s">
        <v>32</v>
      </c>
    </row>
    <row r="8" spans="1:2" x14ac:dyDescent="0.25">
      <c r="A8" t="s">
        <v>73</v>
      </c>
      <c r="B8" s="32" t="s">
        <v>74</v>
      </c>
    </row>
    <row r="9" spans="1:2" x14ac:dyDescent="0.25">
      <c r="A9" t="s">
        <v>75</v>
      </c>
      <c r="B9" s="32" t="s">
        <v>76</v>
      </c>
    </row>
    <row r="10" spans="1:2" x14ac:dyDescent="0.25">
      <c r="A10" t="s">
        <v>32</v>
      </c>
      <c r="B10" s="32" t="s">
        <v>32</v>
      </c>
    </row>
    <row r="11" spans="1:2" x14ac:dyDescent="0.25">
      <c r="A11" t="s">
        <v>77</v>
      </c>
      <c r="B11" s="32" t="s">
        <v>32</v>
      </c>
    </row>
    <row r="12" spans="1:2" x14ac:dyDescent="0.25">
      <c r="A12" t="s">
        <v>8</v>
      </c>
      <c r="B12" s="32" t="s">
        <v>78</v>
      </c>
    </row>
    <row r="13" spans="1:2" x14ac:dyDescent="0.25">
      <c r="A13" t="s">
        <v>10</v>
      </c>
      <c r="B13" s="32" t="s">
        <v>79</v>
      </c>
    </row>
    <row r="14" spans="1:2" x14ac:dyDescent="0.25">
      <c r="A14" t="s">
        <v>80</v>
      </c>
      <c r="B14" s="32" t="s">
        <v>81</v>
      </c>
    </row>
    <row r="15" spans="1:2" x14ac:dyDescent="0.25">
      <c r="A15" t="s">
        <v>32</v>
      </c>
      <c r="B15" s="32" t="s">
        <v>32</v>
      </c>
    </row>
    <row r="16" spans="1:2" s="35" customFormat="1" x14ac:dyDescent="0.25">
      <c r="A16" s="35" t="s">
        <v>82</v>
      </c>
      <c r="B16" s="36" t="s">
        <v>32</v>
      </c>
    </row>
    <row r="17" spans="1:2" x14ac:dyDescent="0.25">
      <c r="A17" t="s">
        <v>83</v>
      </c>
      <c r="B17" s="32" t="s">
        <v>84</v>
      </c>
    </row>
    <row r="18" spans="1:2" x14ac:dyDescent="0.25">
      <c r="A18" t="s">
        <v>85</v>
      </c>
      <c r="B18" s="32" t="s">
        <v>86</v>
      </c>
    </row>
    <row r="19" spans="1:2" x14ac:dyDescent="0.25">
      <c r="A19" t="s">
        <v>32</v>
      </c>
      <c r="B19" s="32" t="s">
        <v>32</v>
      </c>
    </row>
    <row r="20" spans="1:2" x14ac:dyDescent="0.25">
      <c r="A20" t="s">
        <v>87</v>
      </c>
      <c r="B20" s="32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1" width="40" customWidth="1"/>
    <col min="2" max="2" width="16" customWidth="1"/>
    <col min="3" max="3" width="52" customWidth="1"/>
  </cols>
  <sheetData>
    <row r="1" spans="1:1" s="3" customFormat="1" x14ac:dyDescent="0.25">
      <c r="A1" s="3" t="s">
        <v>89</v>
      </c>
    </row>
    <row r="2" spans="1:3" s="6" customFormat="1" x14ac:dyDescent="0.25">
      <c r="A2" s="7" t="s">
        <v>90</v>
      </c>
      <c r="B2" s="7" t="s">
        <v>91</v>
      </c>
      <c r="C2" s="7" t="s">
        <v>92</v>
      </c>
    </row>
    <row r="3" spans="1:3" x14ac:dyDescent="0.25">
      <c r="A3" t="s">
        <v>93</v>
      </c>
      <c r="B3" s="1">
        <v>0.45</v>
      </c>
      <c r="C3" s="32" t="s">
        <v>94</v>
      </c>
    </row>
    <row r="4" spans="1:3" x14ac:dyDescent="0.25">
      <c r="A4" t="s">
        <v>95</v>
      </c>
      <c r="B4" s="1">
        <v>0.68</v>
      </c>
      <c r="C4" s="32" t="s">
        <v>96</v>
      </c>
    </row>
    <row r="5" spans="1:3" x14ac:dyDescent="0.25">
      <c r="A5" t="s">
        <v>97</v>
      </c>
      <c r="B5" s="1">
        <v>1</v>
      </c>
      <c r="C5" s="32" t="s">
        <v>98</v>
      </c>
    </row>
    <row r="6" spans="1:3" x14ac:dyDescent="0.25">
      <c r="A6" t="s">
        <v>99</v>
      </c>
      <c r="B6" s="1">
        <v>0.15</v>
      </c>
      <c r="C6" s="32" t="s">
        <v>100</v>
      </c>
    </row>
    <row r="7" spans="1:3" x14ac:dyDescent="0.25">
      <c r="A7" t="s">
        <v>101</v>
      </c>
      <c r="B7" s="1">
        <v>0.05</v>
      </c>
      <c r="C7" s="32" t="s">
        <v>102</v>
      </c>
    </row>
    <row r="8" spans="1:3" x14ac:dyDescent="0.25">
      <c r="A8" t="s">
        <v>103</v>
      </c>
      <c r="B8" s="1">
        <v>0.67</v>
      </c>
      <c r="C8" s="32" t="s">
        <v>104</v>
      </c>
    </row>
    <row r="10" spans="1:2" s="18" customFormat="1" x14ac:dyDescent="0.25">
      <c r="A10" s="22" t="s">
        <v>105</v>
      </c>
      <c r="B10" s="25">
        <f>SUM(B3:B8)</f>
      </c>
    </row>
    <row r="12" spans="1:1" s="11" customFormat="1" x14ac:dyDescent="0.25">
      <c r="A12" s="37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Pricing</vt:lpstr>
      <vt:lpstr>Revenue Model</vt:lpstr>
      <vt:lpstr>Unit Economics</vt:lpstr>
      <vt:lpstr>Rollout Ramp</vt:lpstr>
      <vt:lpstr>Assumptions &amp; Notes</vt:lpstr>
      <vt:lpstr>COGS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dc:title/>
  <dc:subject/>
  <dc:description/>
  <cp:keywords/>
  <cp:category/>
  <cp:lastModifiedBy>Unknown</cp:lastModifiedBy>
  <dcterms:created xsi:type="dcterms:W3CDTF">2026-07-11T23:34:13Z</dcterms:created>
  <dcterms:modified xsi:type="dcterms:W3CDTF">2026-07-11T23:34:13Z</dcterms:modified>
</cp:coreProperties>
</file>